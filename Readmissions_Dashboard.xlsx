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hidePivotFieldList="1"/>
  <mc:AlternateContent xmlns:mc="http://schemas.openxmlformats.org/markup-compatibility/2006">
    <mc:Choice Requires="x15">
      <x15ac:absPath xmlns:x15ac="http://schemas.microsoft.com/office/spreadsheetml/2010/11/ac" url="/Users/deanellethompson/Downloads/"/>
    </mc:Choice>
  </mc:AlternateContent>
  <xr:revisionPtr revIDLastSave="0" documentId="13_ncr:1_{3B89E34A-807C-8948-8532-7458A3474918}" xr6:coauthVersionLast="47" xr6:coauthVersionMax="47" xr10:uidLastSave="{00000000-0000-0000-0000-000000000000}"/>
  <bookViews>
    <workbookView xWindow="0" yWindow="500" windowWidth="28800" windowHeight="16600" activeTab="11" xr2:uid="{00000000-000D-0000-FFFF-FFFF00000000}"/>
  </bookViews>
  <sheets>
    <sheet name="Data Analysis Questions" sheetId="1" r:id="rId1"/>
    <sheet name="Raw Data" sheetId="2" r:id="rId2"/>
    <sheet name="IL-1A" sheetId="8" r:id="rId3"/>
    <sheet name="IN-1A" sheetId="10" r:id="rId4"/>
    <sheet name="MI-1A" sheetId="11" r:id="rId5"/>
    <sheet name="PA-1A" sheetId="12" r:id="rId6"/>
    <sheet name="TX-1A" sheetId="13" r:id="rId7"/>
    <sheet name="Sheet2" sheetId="21" r:id="rId8"/>
    <sheet name="Pivot-Table" sheetId="18" r:id="rId9"/>
    <sheet name="Matrix-Pivot Table" sheetId="20" r:id="rId10"/>
    <sheet name="Dashboard Layout" sheetId="16" r:id="rId11"/>
    <sheet name="Sheet1" sheetId="19" r:id="rId12"/>
  </sheets>
  <definedNames>
    <definedName name="_xlnm._FilterDatabase" localSheetId="1" hidden="1">'Raw Data'!$A$1:$I$1</definedName>
    <definedName name="Slicer_Region">#N/A</definedName>
    <definedName name="Slicer_Regions1">#N/A</definedName>
  </definedNames>
  <calcPr calcId="191028"/>
  <customWorkbookViews>
    <customWorkbookView name="Filter 1" guid="{A1B47E8F-BE1D-499B-9987-0CCBAC028F8D}" maximized="1" windowWidth="0" windowHeight="0" activeSheetId="0"/>
  </customWorkbookViews>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kfJcdv3ZutrbBaNCfz0vRMU0QqGS3JFol2bUxzUnAjo="/>
    </ext>
  </extLst>
</workbook>
</file>

<file path=xl/calcChain.xml><?xml version="1.0" encoding="utf-8"?>
<calcChain xmlns="http://schemas.openxmlformats.org/spreadsheetml/2006/main">
  <c r="F20" i="20" l="1"/>
  <c r="F21" i="20"/>
  <c r="F22" i="20"/>
  <c r="F23" i="20"/>
  <c r="F24" i="20"/>
  <c r="G19" i="20"/>
  <c r="J19" i="20"/>
  <c r="K19" i="20"/>
  <c r="E20" i="20"/>
  <c r="G20" i="20"/>
  <c r="J20" i="20"/>
  <c r="K20" i="20"/>
  <c r="E21" i="20"/>
  <c r="G21" i="20"/>
  <c r="J21" i="20"/>
  <c r="K21" i="20"/>
  <c r="E22" i="20"/>
  <c r="G22" i="20"/>
  <c r="J22" i="20"/>
  <c r="K22" i="20"/>
  <c r="E23" i="20"/>
  <c r="G23" i="20"/>
  <c r="J23" i="20"/>
  <c r="K23" i="20"/>
  <c r="E24" i="20"/>
  <c r="G24" i="20"/>
  <c r="J24" i="20"/>
  <c r="K24" i="20"/>
  <c r="G68" i="18"/>
  <c r="I3" i="2"/>
  <c r="K2" i="10"/>
  <c r="O81" i="8"/>
  <c r="M2" i="10"/>
  <c r="K81"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1" i="8"/>
  <c r="J142" i="8"/>
  <c r="J143" i="8"/>
  <c r="J144" i="8"/>
  <c r="J145" i="8"/>
  <c r="J2"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81" i="8"/>
  <c r="L81" i="8" s="1"/>
  <c r="M81" i="8" s="1"/>
  <c r="I2" i="10"/>
  <c r="I20" i="10"/>
  <c r="I2" i="8"/>
  <c r="O2" i="13"/>
  <c r="S2" i="13" s="1"/>
  <c r="O2" i="12"/>
  <c r="S2" i="12" s="1"/>
  <c r="O2" i="11"/>
  <c r="O2" i="10"/>
  <c r="S2" i="10" s="1"/>
  <c r="O2" i="8"/>
  <c r="S2" i="8" s="1"/>
  <c r="K2" i="8"/>
  <c r="J46" i="13"/>
  <c r="J2" i="13"/>
  <c r="J3" i="13"/>
  <c r="J5" i="13"/>
  <c r="J6" i="13"/>
  <c r="J7" i="13"/>
  <c r="J8" i="13"/>
  <c r="J9" i="13"/>
  <c r="J10" i="13"/>
  <c r="J12" i="13"/>
  <c r="J13" i="13"/>
  <c r="J14" i="13"/>
  <c r="J15" i="13"/>
  <c r="J16" i="13"/>
  <c r="J17" i="13"/>
  <c r="J18" i="13"/>
  <c r="J19" i="13"/>
  <c r="J20" i="13"/>
  <c r="J23" i="13"/>
  <c r="J24" i="13"/>
  <c r="J25" i="13"/>
  <c r="J26" i="13"/>
  <c r="J27" i="13"/>
  <c r="J28" i="13"/>
  <c r="J29" i="13"/>
  <c r="J30" i="13"/>
  <c r="J31" i="13"/>
  <c r="J32" i="13"/>
  <c r="J33" i="13"/>
  <c r="J34" i="13"/>
  <c r="J35" i="13"/>
  <c r="J36" i="13"/>
  <c r="J40" i="13"/>
  <c r="J41" i="13"/>
  <c r="J42" i="13"/>
  <c r="J43" i="13"/>
  <c r="J44" i="13"/>
  <c r="J47" i="13"/>
  <c r="J48" i="13"/>
  <c r="J49" i="13"/>
  <c r="J50" i="13"/>
  <c r="J51" i="13"/>
  <c r="J52" i="13"/>
  <c r="J36" i="12"/>
  <c r="J3" i="12"/>
  <c r="J4" i="12"/>
  <c r="J5" i="12"/>
  <c r="J6" i="12"/>
  <c r="J8" i="12"/>
  <c r="J10" i="12"/>
  <c r="J11" i="12"/>
  <c r="J12" i="12"/>
  <c r="J14" i="12"/>
  <c r="J15" i="12"/>
  <c r="J16" i="12"/>
  <c r="J17" i="12"/>
  <c r="J18" i="12"/>
  <c r="J20" i="12"/>
  <c r="J21" i="12"/>
  <c r="J22" i="12"/>
  <c r="J23" i="12"/>
  <c r="J24" i="12"/>
  <c r="J26" i="12"/>
  <c r="J28" i="12"/>
  <c r="J29" i="12"/>
  <c r="J30" i="12"/>
  <c r="J31" i="12"/>
  <c r="J32" i="12"/>
  <c r="J33" i="12"/>
  <c r="J34" i="12"/>
  <c r="J35" i="12"/>
  <c r="J39" i="12"/>
  <c r="J40" i="12"/>
  <c r="J3" i="11"/>
  <c r="J5" i="11"/>
  <c r="J6" i="11"/>
  <c r="J7" i="11"/>
  <c r="J9" i="11"/>
  <c r="J10" i="11"/>
  <c r="J11" i="11"/>
  <c r="J13" i="11"/>
  <c r="J14" i="11"/>
  <c r="J16" i="11"/>
  <c r="J17" i="11"/>
  <c r="J18" i="11"/>
  <c r="J19" i="11"/>
  <c r="J21" i="11"/>
  <c r="J22" i="11"/>
  <c r="J24" i="11"/>
  <c r="J25" i="11"/>
  <c r="J26" i="11"/>
  <c r="J27" i="11"/>
  <c r="J28" i="11"/>
  <c r="J29" i="11"/>
  <c r="J30" i="11"/>
  <c r="J31" i="11"/>
  <c r="J32" i="11"/>
  <c r="J33" i="11"/>
  <c r="J34" i="11"/>
  <c r="J35" i="11"/>
  <c r="J36" i="11"/>
  <c r="J37" i="11"/>
  <c r="J39" i="11"/>
  <c r="J40" i="11"/>
  <c r="J41" i="11"/>
  <c r="J42" i="11"/>
  <c r="J43" i="11"/>
  <c r="J44" i="11"/>
  <c r="J45" i="11"/>
  <c r="J47" i="11"/>
  <c r="J48" i="11"/>
  <c r="J49" i="11"/>
  <c r="J50" i="11"/>
  <c r="J51" i="11"/>
  <c r="J52" i="11"/>
  <c r="J53" i="11"/>
  <c r="J54" i="11"/>
  <c r="J55" i="11"/>
  <c r="J56" i="11"/>
  <c r="J57" i="11"/>
  <c r="J58" i="11"/>
  <c r="J59" i="11"/>
  <c r="J60" i="11"/>
  <c r="J61" i="11"/>
  <c r="J62" i="11"/>
  <c r="J63" i="11"/>
  <c r="J64" i="11"/>
  <c r="J65" i="11"/>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11" i="8"/>
  <c r="J4" i="8"/>
  <c r="J5" i="8"/>
  <c r="J6" i="8"/>
  <c r="J7" i="8"/>
  <c r="J8" i="8"/>
  <c r="J9" i="8"/>
  <c r="J10" i="8"/>
  <c r="J12" i="8"/>
  <c r="J13" i="8"/>
  <c r="J15" i="8"/>
  <c r="J16" i="8"/>
  <c r="J17" i="8"/>
  <c r="J18" i="8"/>
  <c r="J19" i="8"/>
  <c r="J20" i="8"/>
  <c r="J21" i="8"/>
  <c r="J23" i="8"/>
  <c r="J24" i="8"/>
  <c r="J25" i="8"/>
  <c r="J26" i="8"/>
  <c r="J27" i="8"/>
  <c r="J28" i="8"/>
  <c r="J29" i="8"/>
  <c r="J31" i="8"/>
  <c r="J32" i="8"/>
  <c r="J33" i="8"/>
  <c r="J34" i="8"/>
  <c r="J35" i="8"/>
  <c r="J37" i="8"/>
  <c r="J38" i="8"/>
  <c r="J39" i="8"/>
  <c r="J40" i="8"/>
  <c r="J41" i="8"/>
  <c r="J42" i="8"/>
  <c r="J43" i="8"/>
  <c r="J44" i="8"/>
  <c r="J45" i="8"/>
  <c r="J46" i="8"/>
  <c r="J47" i="8"/>
  <c r="J48" i="8"/>
  <c r="J50" i="8"/>
  <c r="J51" i="8"/>
  <c r="J52" i="8"/>
  <c r="J53" i="8"/>
  <c r="J55" i="8"/>
  <c r="J56" i="8"/>
  <c r="J57" i="8"/>
  <c r="J58" i="8"/>
  <c r="J59" i="8"/>
  <c r="J60" i="8"/>
  <c r="J61" i="8"/>
  <c r="J62" i="8"/>
  <c r="J63" i="8"/>
  <c r="J64" i="8"/>
  <c r="J65" i="8"/>
  <c r="J66" i="8"/>
  <c r="J67" i="8"/>
  <c r="J68" i="8"/>
  <c r="J70" i="8"/>
  <c r="J72" i="8"/>
  <c r="J73" i="8"/>
  <c r="J74" i="8"/>
  <c r="J75" i="8"/>
  <c r="J76" i="8"/>
  <c r="J77" i="8"/>
  <c r="J78" i="8"/>
  <c r="J79" i="8"/>
  <c r="J80" i="8"/>
  <c r="J3" i="8"/>
  <c r="K2" i="13"/>
  <c r="I52" i="13"/>
  <c r="I51" i="13"/>
  <c r="I50" i="13"/>
  <c r="I49" i="13"/>
  <c r="I48" i="13"/>
  <c r="I47" i="13"/>
  <c r="I46" i="13"/>
  <c r="I45" i="13"/>
  <c r="I44" i="13"/>
  <c r="I43" i="13"/>
  <c r="I42" i="13"/>
  <c r="I41" i="13"/>
  <c r="I40" i="13"/>
  <c r="I39" i="13"/>
  <c r="I38" i="13"/>
  <c r="I37" i="13"/>
  <c r="I36" i="13"/>
  <c r="I35" i="13"/>
  <c r="I34" i="13"/>
  <c r="I33" i="13"/>
  <c r="I32" i="13"/>
  <c r="I31" i="13"/>
  <c r="I30" i="13"/>
  <c r="I29" i="13"/>
  <c r="I28" i="13"/>
  <c r="I27" i="13"/>
  <c r="I26" i="13"/>
  <c r="I25" i="13"/>
  <c r="I24" i="13"/>
  <c r="I23" i="13"/>
  <c r="I22" i="13"/>
  <c r="I21" i="13"/>
  <c r="I20" i="13"/>
  <c r="I19" i="13"/>
  <c r="I18" i="13"/>
  <c r="I17" i="13"/>
  <c r="I16" i="13"/>
  <c r="I15" i="13"/>
  <c r="I14" i="13"/>
  <c r="I13" i="13"/>
  <c r="I12" i="13"/>
  <c r="I11" i="13"/>
  <c r="I10" i="13"/>
  <c r="I9" i="13"/>
  <c r="I8" i="13"/>
  <c r="I7" i="13"/>
  <c r="I6" i="13"/>
  <c r="I5" i="13"/>
  <c r="I4" i="13"/>
  <c r="I3" i="13"/>
  <c r="I2" i="13"/>
  <c r="K2" i="12"/>
  <c r="K2" i="11"/>
  <c r="I42" i="12"/>
  <c r="I41" i="12"/>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I7" i="12"/>
  <c r="I6" i="12"/>
  <c r="I5" i="12"/>
  <c r="I4" i="12"/>
  <c r="I3" i="12"/>
  <c r="I2" i="12"/>
  <c r="I65" i="11"/>
  <c r="I64" i="11"/>
  <c r="I63" i="11"/>
  <c r="I62" i="11"/>
  <c r="I61" i="11"/>
  <c r="I60" i="11"/>
  <c r="I59" i="11"/>
  <c r="I58" i="11"/>
  <c r="I57" i="11"/>
  <c r="I56" i="11"/>
  <c r="I55" i="11"/>
  <c r="I54" i="11"/>
  <c r="I53" i="11"/>
  <c r="I52" i="11"/>
  <c r="I51" i="11"/>
  <c r="I50" i="11"/>
  <c r="I49" i="11"/>
  <c r="I48" i="11"/>
  <c r="I47" i="11"/>
  <c r="I46" i="11"/>
  <c r="I45" i="11"/>
  <c r="I44" i="11"/>
  <c r="I43" i="11"/>
  <c r="I42" i="11"/>
  <c r="I41" i="11"/>
  <c r="I40" i="11"/>
  <c r="I39" i="11"/>
  <c r="I38" i="11"/>
  <c r="I37" i="11"/>
  <c r="I36" i="11"/>
  <c r="I35" i="11"/>
  <c r="I34" i="11"/>
  <c r="I33" i="11"/>
  <c r="I32" i="11"/>
  <c r="I31" i="11"/>
  <c r="I30" i="11"/>
  <c r="I29" i="11"/>
  <c r="I28" i="11"/>
  <c r="I27" i="11"/>
  <c r="I26" i="11"/>
  <c r="I25" i="11"/>
  <c r="I24" i="11"/>
  <c r="I23" i="11"/>
  <c r="I22" i="11"/>
  <c r="I21" i="11"/>
  <c r="I20" i="11"/>
  <c r="I19" i="11"/>
  <c r="I18" i="11"/>
  <c r="I17" i="11"/>
  <c r="I16" i="11"/>
  <c r="I15" i="11"/>
  <c r="I14" i="11"/>
  <c r="I13" i="11"/>
  <c r="I12" i="11"/>
  <c r="I11" i="11"/>
  <c r="I10" i="11"/>
  <c r="I9" i="11"/>
  <c r="I8" i="11"/>
  <c r="I7" i="11"/>
  <c r="I6" i="11"/>
  <c r="I5" i="11"/>
  <c r="I4" i="11"/>
  <c r="I3" i="11"/>
  <c r="I2" i="11"/>
  <c r="Q2" i="11" s="1"/>
  <c r="I66" i="10"/>
  <c r="I65" i="10"/>
  <c r="I64" i="10"/>
  <c r="I63" i="10"/>
  <c r="I62" i="10"/>
  <c r="I61" i="10"/>
  <c r="I60" i="10"/>
  <c r="I59" i="10"/>
  <c r="I58" i="10"/>
  <c r="I57" i="10"/>
  <c r="I56" i="10"/>
  <c r="I55" i="10"/>
  <c r="I54" i="10"/>
  <c r="I53" i="10"/>
  <c r="I52" i="10"/>
  <c r="I51" i="10"/>
  <c r="I50" i="10"/>
  <c r="I49" i="10"/>
  <c r="I48" i="10"/>
  <c r="I47" i="10"/>
  <c r="I46" i="10"/>
  <c r="I45" i="10"/>
  <c r="I44" i="10"/>
  <c r="I43" i="10"/>
  <c r="I42" i="10"/>
  <c r="I41" i="10"/>
  <c r="I40" i="10"/>
  <c r="I39" i="10"/>
  <c r="I38" i="10"/>
  <c r="I37" i="10"/>
  <c r="I36" i="10"/>
  <c r="I35" i="10"/>
  <c r="I34" i="10"/>
  <c r="I33" i="10"/>
  <c r="I32" i="10"/>
  <c r="I31" i="10"/>
  <c r="I30" i="10"/>
  <c r="I29" i="10"/>
  <c r="I28" i="10"/>
  <c r="I27" i="10"/>
  <c r="I26" i="10"/>
  <c r="I25" i="10"/>
  <c r="I24" i="10"/>
  <c r="I23" i="10"/>
  <c r="I22" i="10"/>
  <c r="I21" i="10"/>
  <c r="I19" i="10"/>
  <c r="I18" i="10"/>
  <c r="I17" i="10"/>
  <c r="I16" i="10"/>
  <c r="I15" i="10"/>
  <c r="I14" i="10"/>
  <c r="I13" i="10"/>
  <c r="I11" i="10"/>
  <c r="I10" i="10"/>
  <c r="I9" i="10"/>
  <c r="I7" i="10"/>
  <c r="I6" i="10"/>
  <c r="I5" i="10"/>
  <c r="I4" i="10"/>
  <c r="I3" i="10"/>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2"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P81" i="8" l="1"/>
  <c r="S81" i="8"/>
  <c r="R81" i="8"/>
  <c r="N81" i="8"/>
  <c r="N2" i="10"/>
  <c r="L2" i="8"/>
  <c r="Q2" i="8"/>
  <c r="M2" i="8"/>
  <c r="L2" i="12"/>
  <c r="M2" i="12" s="1"/>
  <c r="Q2" i="12"/>
  <c r="L2" i="10"/>
  <c r="Q2" i="10"/>
  <c r="R2" i="10" s="1"/>
  <c r="L2" i="13"/>
  <c r="M2" i="13" s="1"/>
  <c r="Q2" i="13"/>
  <c r="R2" i="13" s="1"/>
  <c r="P2" i="13"/>
  <c r="R2" i="12"/>
  <c r="P2" i="12"/>
  <c r="S2" i="11"/>
  <c r="P2" i="11"/>
  <c r="L2" i="11"/>
  <c r="M2" i="11" s="1"/>
  <c r="R2" i="11"/>
  <c r="R2" i="8"/>
  <c r="P2" i="10"/>
  <c r="N2" i="8"/>
  <c r="P2" i="8" s="1"/>
  <c r="N2" i="13"/>
  <c r="N2" i="12"/>
  <c r="N2" i="11"/>
</calcChain>
</file>

<file path=xl/sharedStrings.xml><?xml version="1.0" encoding="utf-8"?>
<sst xmlns="http://schemas.openxmlformats.org/spreadsheetml/2006/main" count="978" uniqueCount="113">
  <si>
    <t>Background:</t>
  </si>
  <si>
    <t>When a patient is hospitalized, we work to ensure they are supported when they return home so that they are not readmitted. One of the key elements of this process is a post-discharge visit (PDV) within 30 days of the patient returning home; however, evidence suggests that completing a PDV within 7 days of discharge reduces the likelihood of a readmission by 20%.</t>
  </si>
  <si>
    <t>Exercise 1 for completion in Excel or Google Sheets</t>
  </si>
  <si>
    <t>We have provided you with a dataset of recent hospitalizations, which includes data indicating if the hospitalization was followed by a readmission in the next 30 days. At OSH, we define “readmissions” as admissions that start (the “admission date”) within 30 days of the end of the prior admission (the “discharge date”).</t>
  </si>
  <si>
    <r>
      <rPr>
        <sz val="11"/>
        <color theme="1"/>
        <rFont val="Roboto"/>
      </rPr>
      <t xml:space="preserve">Using the readmissions dataset on the next tab ("Raw Data"), create </t>
    </r>
    <r>
      <rPr>
        <u/>
        <sz val="11"/>
        <color rgb="FF000000"/>
        <rFont val="Roboto"/>
      </rPr>
      <t>separate output tables in Excel or Google Sheets</t>
    </r>
    <r>
      <rPr>
        <sz val="11"/>
        <color rgb="FF000000"/>
        <rFont val="Roboto"/>
      </rPr>
      <t xml:space="preserve"> for the following:</t>
    </r>
  </si>
  <si>
    <r>
      <rPr>
        <b/>
        <i/>
        <sz val="11"/>
        <color theme="1"/>
        <rFont val="Roboto"/>
      </rPr>
      <t xml:space="preserve">For </t>
    </r>
    <r>
      <rPr>
        <b/>
        <i/>
        <u/>
        <sz val="11"/>
        <color rgb="FF000000"/>
        <rFont val="Roboto"/>
      </rPr>
      <t>each region</t>
    </r>
    <r>
      <rPr>
        <b/>
        <i/>
        <sz val="11"/>
        <color rgb="FF000000"/>
        <rFont val="Roboto"/>
      </rPr>
      <t>:</t>
    </r>
  </si>
  <si>
    <t>Post-Discharge Visit Completion</t>
  </si>
  <si>
    <t>a.</t>
  </si>
  <si>
    <t>Calculate the % of initial hospitalizations (admission 1) where the patient completed their post-discharge visit (PDV)</t>
  </si>
  <si>
    <t>b.</t>
  </si>
  <si>
    <t>On average, how long (number of days) was the period between the initial discharge and the PDV?</t>
  </si>
  <si>
    <t>Readmissions</t>
  </si>
  <si>
    <t>Determine a readmission rate (the total # of readmissions divided by the total # of initial admissions)</t>
  </si>
  <si>
    <t>For patients who were readmitted, calculate:</t>
  </si>
  <si>
    <t>i.</t>
  </si>
  <si>
    <t xml:space="preserve">     What % of readmissions came after a completed post-discharge visit?</t>
  </si>
  <si>
    <t>ii.</t>
  </si>
  <si>
    <t xml:space="preserve">     What % of readmissions did not have a previous post-discharge visit?</t>
  </si>
  <si>
    <r>
      <rPr>
        <b/>
        <sz val="11"/>
        <color rgb="FF000000"/>
        <rFont val="Roboto, sans-serif"/>
      </rPr>
      <t xml:space="preserve">Bonus question (optional): </t>
    </r>
    <r>
      <rPr>
        <sz val="11"/>
        <color rgb="FF000000"/>
        <rFont val="Roboto, sans-serif"/>
      </rPr>
      <t xml:space="preserve">For patients who completed a PDV and were subsequently readmitted, how long (average number of days) was the period between the initial discharge and PDV? </t>
    </r>
  </si>
  <si>
    <t>Note: this dataset is not based on actual patient data, but is representative of real datasets we work with on a daily basis</t>
  </si>
  <si>
    <t>Exercise 2: for completion in PowerPoint or Google Slides (2-3 slides max)</t>
  </si>
  <si>
    <t>Please create a short presentation (no more than 3 slides in PowerPoint or Google Slides) to answer the questions in the “Data Analysis Questions” tab for Exercise 2 and summarize any other findings from your analysis.</t>
  </si>
  <si>
    <t>Record</t>
  </si>
  <si>
    <t>Patient ID</t>
  </si>
  <si>
    <t>Region</t>
  </si>
  <si>
    <t>Admission Date 1</t>
  </si>
  <si>
    <t>Discharge Date 1</t>
  </si>
  <si>
    <t>Post-Discharge Visit Date</t>
  </si>
  <si>
    <t>Readmission Date</t>
  </si>
  <si>
    <t>Readmission Discharge Date</t>
  </si>
  <si>
    <t xml:space="preserve">PDV Completed </t>
  </si>
  <si>
    <t>PA</t>
  </si>
  <si>
    <t>IL</t>
  </si>
  <si>
    <t>IN</t>
  </si>
  <si>
    <t>Regions</t>
  </si>
  <si>
    <t xml:space="preserve">Count of Admissions </t>
  </si>
  <si>
    <t xml:space="preserve">Count of PDV </t>
  </si>
  <si>
    <t xml:space="preserve">Percentage of PDV Completed </t>
  </si>
  <si>
    <t xml:space="preserve">Average Days Between Initial Discharge </t>
  </si>
  <si>
    <t>Count of Readmissions</t>
  </si>
  <si>
    <t>Percentage of Readmissions</t>
  </si>
  <si>
    <t>Count of PDV Completed</t>
  </si>
  <si>
    <t xml:space="preserve">Percentage of  Readmissions with PDV </t>
  </si>
  <si>
    <t xml:space="preserve">Percentage of Readmissions without PDV </t>
  </si>
  <si>
    <t xml:space="preserve">IN </t>
  </si>
  <si>
    <t>TX</t>
  </si>
  <si>
    <t xml:space="preserve">MI </t>
  </si>
  <si>
    <t xml:space="preserve">PA </t>
  </si>
  <si>
    <t xml:space="preserve">TX </t>
  </si>
  <si>
    <t>MI</t>
  </si>
  <si>
    <t xml:space="preserve">Days Between Initial discharge and PDV </t>
  </si>
  <si>
    <t>Count of Admissions</t>
  </si>
  <si>
    <t xml:space="preserve">Count of PDV completed </t>
  </si>
  <si>
    <t>Average Days Between Initial Discharge and PDV</t>
  </si>
  <si>
    <t xml:space="preserve">Count of Readmissions </t>
  </si>
  <si>
    <t xml:space="preserve">Count of Readmissions with PDV </t>
  </si>
  <si>
    <t>Percentage of Readmissions after PDV</t>
  </si>
  <si>
    <t>Percentage of Readmissions without PDV</t>
  </si>
  <si>
    <t>None</t>
  </si>
  <si>
    <t xml:space="preserve">Days Between Initial Discharge and PDV </t>
  </si>
  <si>
    <t xml:space="preserve">Percentage of PDV </t>
  </si>
  <si>
    <t xml:space="preserve">Average Days Between Initial Discharge and PDV </t>
  </si>
  <si>
    <t>Percentage of Readmissions with PDV</t>
  </si>
  <si>
    <t xml:space="preserve">Days Between Initial Dicharge and PDV </t>
  </si>
  <si>
    <t>Count of Completed PDV</t>
  </si>
  <si>
    <t xml:space="preserve">Average Days Between Discharge and </t>
  </si>
  <si>
    <t xml:space="preserve">Percent of Readmissions without PDV </t>
  </si>
  <si>
    <t xml:space="preserve">None </t>
  </si>
  <si>
    <t xml:space="preserve">Count of PDV Completed </t>
  </si>
  <si>
    <t xml:space="preserve">Average Days Between Discharge and PDV </t>
  </si>
  <si>
    <t>Readmissions with PDV Percent</t>
  </si>
  <si>
    <t>Readmissions without PDV percentage</t>
  </si>
  <si>
    <t xml:space="preserve">Percentage  of PDV Completed </t>
  </si>
  <si>
    <t xml:space="preserve">Percentage of Readmissions with PDV </t>
  </si>
  <si>
    <t xml:space="preserve">          </t>
  </si>
  <si>
    <t>Grand Total</t>
  </si>
  <si>
    <t xml:space="preserve"> Percent of  Readmissions with PDV </t>
  </si>
  <si>
    <t>Average</t>
  </si>
  <si>
    <t xml:space="preserve">               Count of PDV Completed</t>
  </si>
  <si>
    <t xml:space="preserve">Average of Average Days Between Initial Discharge </t>
  </si>
  <si>
    <t xml:space="preserve">     Percentage of PDV Completed </t>
  </si>
  <si>
    <t xml:space="preserve">    Count of Readmissions</t>
  </si>
  <si>
    <t xml:space="preserve"> Readmissions Rate </t>
  </si>
  <si>
    <t xml:space="preserve">Regions </t>
  </si>
  <si>
    <t xml:space="preserve">Days Between PDV and Discharge </t>
  </si>
  <si>
    <t>State</t>
  </si>
  <si>
    <t>Readmission Rate (With PDV)</t>
  </si>
  <si>
    <t>Readmission Rate (No PDV)</t>
  </si>
  <si>
    <t xml:space="preserve">Region </t>
  </si>
  <si>
    <t xml:space="preserve">Admissions Count </t>
  </si>
  <si>
    <t xml:space="preserve">PDV Comleted </t>
  </si>
  <si>
    <t xml:space="preserve">Days </t>
  </si>
  <si>
    <t xml:space="preserve">Readmission Rate </t>
  </si>
  <si>
    <t xml:space="preserve">Readmission Rate PDV </t>
  </si>
  <si>
    <t xml:space="preserve">IL </t>
  </si>
  <si>
    <t xml:space="preserve">Average of PDV Comleted </t>
  </si>
  <si>
    <t>Days  Between Discharge and PDV</t>
  </si>
  <si>
    <t xml:space="preserve"> Readmission Rate </t>
  </si>
  <si>
    <t xml:space="preserve"> Readmission Rate PDV </t>
  </si>
  <si>
    <t xml:space="preserve"> Readmission Rate (No PDV)</t>
  </si>
  <si>
    <t xml:space="preserve">For Matrix </t>
  </si>
  <si>
    <t>PDV Completed</t>
  </si>
  <si>
    <t>Row Labels</t>
  </si>
  <si>
    <t>Jan</t>
  </si>
  <si>
    <t>Feb</t>
  </si>
  <si>
    <t>Mar</t>
  </si>
  <si>
    <t>Apr</t>
  </si>
  <si>
    <t>May</t>
  </si>
  <si>
    <t>Column Labels</t>
  </si>
  <si>
    <t>Count of Readmission Date</t>
  </si>
  <si>
    <t>(All)</t>
  </si>
  <si>
    <t>Count of Readmission Discharge Date</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</si>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</sst>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font>
      <sz val="10"/>
      <color rgb="FF000000"/>
      <name val="Arial"/>
      <scheme val="minor"/>
    </font>
    <font>
      <sz val="10"/>
      <color theme="1"/>
      <name val="Arial"/>
      <family val="2"/>
    </font>
    <font>
      <b/>
      <sz val="11"/>
      <color theme="1"/>
      <name val="Roboto"/>
    </font>
    <font>
      <sz val="11"/>
      <color theme="1"/>
      <name val="Roboto"/>
    </font>
    <font>
      <b/>
      <u/>
      <sz val="11"/>
      <color theme="1"/>
      <name val="Roboto"/>
    </font>
    <font>
      <b/>
      <i/>
      <sz val="11"/>
      <color theme="1"/>
      <name val="Roboto"/>
    </font>
    <font>
      <i/>
      <sz val="10"/>
      <color theme="1"/>
      <name val="Roboto"/>
    </font>
    <font>
      <sz val="11"/>
      <color rgb="FF000000"/>
      <name val="Roboto"/>
    </font>
    <font>
      <sz val="10"/>
      <color theme="1"/>
      <name val="Arial"/>
      <family val="2"/>
      <scheme val="minor"/>
    </font>
    <font>
      <u/>
      <sz val="11"/>
      <color rgb="FF000000"/>
      <name val="Roboto"/>
    </font>
    <font>
      <b/>
      <i/>
      <u/>
      <sz val="11"/>
      <color rgb="FF000000"/>
      <name val="Roboto"/>
    </font>
    <font>
      <b/>
      <i/>
      <sz val="11"/>
      <color rgb="FF000000"/>
      <name val="Roboto"/>
    </font>
    <font>
      <b/>
      <sz val="11"/>
      <color rgb="FF000000"/>
      <name val="Roboto, sans-serif"/>
    </font>
    <font>
      <sz val="11"/>
      <color rgb="FF000000"/>
      <name val="Roboto, sans-serif"/>
    </font>
    <font>
      <b/>
      <sz val="10"/>
      <color theme="0"/>
      <name val="Arial"/>
      <family val="2"/>
    </font>
    <font>
      <b/>
      <sz val="10"/>
      <color theme="1"/>
      <name val="Arial"/>
      <family val="2"/>
    </font>
    <font>
      <sz val="12"/>
      <color rgb="FF1E1E1E"/>
      <name val="Segoe UI"/>
      <charset val="1"/>
    </font>
    <font>
      <sz val="13.5"/>
      <color rgb="FF000000"/>
      <name val="Arial"/>
      <family val="2"/>
      <scheme val="minor"/>
    </font>
    <font>
      <b/>
      <sz val="10"/>
      <color theme="0"/>
      <name val="Arial"/>
      <family val="2"/>
      <scheme val="minor"/>
    </font>
    <font>
      <b/>
      <sz val="10"/>
      <color theme="1"/>
      <name val="Arial"/>
      <family val="2"/>
      <scheme val="minor"/>
    </font>
    <font>
      <b/>
      <sz val="10"/>
      <color rgb="FF000000"/>
      <name val="Arial"/>
      <family val="2"/>
      <scheme val="minor"/>
    </font>
    <font>
      <b/>
      <sz val="10"/>
      <color rgb="FF000000"/>
      <name val="Google Sans Text"/>
      <family val="2"/>
      <charset val="1"/>
    </font>
    <font>
      <sz val="10"/>
      <color rgb="FF000000"/>
      <name val="Google Sans Text"/>
      <family val="2"/>
      <charset val="1"/>
    </font>
    <font>
      <b/>
      <sz val="10"/>
      <color rgb="FF000000"/>
      <name val="Arial"/>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s>
  <borders count="11">
    <border>
      <left/>
      <right/>
      <top/>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rgb="FFB7B7B7"/>
      </left>
      <right/>
      <top style="thin">
        <color rgb="FFB7B7B7"/>
      </top>
      <bottom/>
      <diagonal/>
    </border>
    <border>
      <left style="thin">
        <color rgb="FFB7B7B7"/>
      </left>
      <right style="thin">
        <color theme="4" tint="0.39997558519241921"/>
      </right>
      <top style="thin">
        <color theme="4" tint="0.39997558519241921"/>
      </top>
      <bottom/>
      <diagonal/>
    </border>
    <border>
      <left style="thin">
        <color rgb="FFB7B7B7"/>
      </left>
      <right/>
      <top style="thin">
        <color rgb="FFB7B7B7"/>
      </top>
      <bottom style="thin">
        <color rgb="FFB7B7B7"/>
      </bottom>
      <diagonal/>
    </border>
    <border>
      <left style="thin">
        <color rgb="FFB7B7B7"/>
      </left>
      <right style="thin">
        <color theme="4" tint="0.39997558519241921"/>
      </right>
      <top style="thin">
        <color theme="4" tint="0.39997558519241921"/>
      </top>
      <bottom style="thin">
        <color theme="4" tint="0.39997558519241921"/>
      </bottom>
      <diagonal/>
    </border>
    <border>
      <left style="thin">
        <color auto="1"/>
      </left>
      <right style="thin">
        <color auto="1"/>
      </right>
      <top style="thin">
        <color auto="1"/>
      </top>
      <bottom style="thin">
        <color auto="1"/>
      </bottom>
      <diagonal/>
    </border>
    <border>
      <left style="medium">
        <color theme="0"/>
      </left>
      <right style="medium">
        <color theme="0"/>
      </right>
      <top style="medium">
        <color theme="0"/>
      </top>
      <bottom style="medium">
        <color theme="0"/>
      </bottom>
      <diagonal/>
    </border>
  </borders>
  <cellStyleXfs count="1">
    <xf numFmtId="0" fontId="0" fillId="0" borderId="0"/>
  </cellStyleXfs>
  <cellXfs count="85">
    <xf numFmtId="0" fontId="0" fillId="0" borderId="0" xfId="0"/>
    <xf numFmtId="0" fontId="1" fillId="0" borderId="0" xfId="0" applyFont="1"/>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5" fillId="0" borderId="0" xfId="0" applyFont="1" applyAlignment="1">
      <alignment vertical="top"/>
    </xf>
    <xf numFmtId="0" fontId="2" fillId="0" borderId="0" xfId="0" applyFont="1" applyAlignment="1">
      <alignment horizontal="right" vertical="top" wrapText="1"/>
    </xf>
    <xf numFmtId="0" fontId="2" fillId="0" borderId="0" xfId="0" applyFont="1" applyAlignment="1">
      <alignment vertical="top" wrapText="1"/>
    </xf>
    <xf numFmtId="0" fontId="3" fillId="0" borderId="0" xfId="0" applyFont="1" applyAlignment="1">
      <alignment horizontal="right" vertical="top" wrapText="1"/>
    </xf>
    <xf numFmtId="0" fontId="6" fillId="0" borderId="0" xfId="0" applyFont="1" applyAlignment="1">
      <alignment vertical="top"/>
    </xf>
    <xf numFmtId="0" fontId="3" fillId="0" borderId="0" xfId="0" applyFont="1" applyAlignment="1">
      <alignment vertical="top"/>
    </xf>
    <xf numFmtId="0" fontId="1" fillId="3" borderId="1" xfId="0" applyFont="1" applyFill="1" applyBorder="1" applyAlignment="1">
      <alignment horizontal="right"/>
    </xf>
    <xf numFmtId="0" fontId="1" fillId="3" borderId="1" xfId="0" applyFont="1" applyFill="1" applyBorder="1"/>
    <xf numFmtId="14" fontId="1" fillId="3" borderId="1" xfId="0" applyNumberFormat="1" applyFont="1" applyFill="1" applyBorder="1" applyAlignment="1">
      <alignment horizontal="right"/>
    </xf>
    <xf numFmtId="0" fontId="1" fillId="3" borderId="3" xfId="0" applyFont="1" applyFill="1" applyBorder="1"/>
    <xf numFmtId="0" fontId="1" fillId="0" borderId="1" xfId="0" applyFont="1" applyBorder="1" applyAlignment="1">
      <alignment horizontal="right"/>
    </xf>
    <xf numFmtId="0" fontId="1" fillId="0" borderId="1" xfId="0" applyFont="1" applyBorder="1"/>
    <xf numFmtId="14" fontId="1" fillId="0" borderId="1" xfId="0" applyNumberFormat="1" applyFont="1" applyBorder="1" applyAlignment="1">
      <alignment horizontal="right"/>
    </xf>
    <xf numFmtId="0" fontId="1" fillId="0" borderId="3" xfId="0" applyFont="1" applyBorder="1"/>
    <xf numFmtId="0" fontId="14" fillId="2" borderId="1" xfId="0" applyFont="1" applyFill="1" applyBorder="1" applyAlignment="1">
      <alignment wrapText="1"/>
    </xf>
    <xf numFmtId="0" fontId="0" fillId="0" borderId="0" xfId="0" applyAlignment="1">
      <alignment wrapText="1"/>
    </xf>
    <xf numFmtId="10" fontId="0" fillId="0" borderId="0" xfId="0" applyNumberFormat="1"/>
    <xf numFmtId="0" fontId="14" fillId="2" borderId="2" xfId="0" applyFont="1" applyFill="1" applyBorder="1" applyAlignment="1">
      <alignment wrapText="1"/>
    </xf>
    <xf numFmtId="0" fontId="1" fillId="3" borderId="2" xfId="0" applyFont="1" applyFill="1" applyBorder="1" applyAlignment="1">
      <alignment horizontal="right"/>
    </xf>
    <xf numFmtId="0" fontId="1" fillId="0" borderId="2" xfId="0" applyFont="1" applyBorder="1" applyAlignment="1">
      <alignment horizontal="right"/>
    </xf>
    <xf numFmtId="0" fontId="14" fillId="2" borderId="3" xfId="0" applyFont="1" applyFill="1" applyBorder="1"/>
    <xf numFmtId="0" fontId="1" fillId="0" borderId="0" xfId="0" applyFont="1" applyAlignment="1">
      <alignment wrapText="1"/>
    </xf>
    <xf numFmtId="0" fontId="15" fillId="2" borderId="3" xfId="0" applyFont="1" applyFill="1" applyBorder="1"/>
    <xf numFmtId="0" fontId="1" fillId="3" borderId="3" xfId="0" applyFont="1" applyFill="1" applyBorder="1" applyAlignment="1">
      <alignment wrapText="1"/>
    </xf>
    <xf numFmtId="0" fontId="1" fillId="3" borderId="0" xfId="0" applyFont="1" applyFill="1"/>
    <xf numFmtId="0" fontId="14" fillId="2" borderId="0" xfId="0" applyFont="1" applyFill="1" applyAlignment="1">
      <alignment wrapText="1"/>
    </xf>
    <xf numFmtId="164" fontId="0" fillId="0" borderId="0" xfId="0" applyNumberFormat="1"/>
    <xf numFmtId="0" fontId="16" fillId="0" borderId="0" xfId="0" applyFont="1" applyAlignment="1">
      <alignment wrapText="1"/>
    </xf>
    <xf numFmtId="0" fontId="1" fillId="3" borderId="0" xfId="0" applyFont="1" applyFill="1" applyAlignment="1">
      <alignment horizontal="right"/>
    </xf>
    <xf numFmtId="0" fontId="1" fillId="0" borderId="0" xfId="0" applyFont="1" applyAlignment="1">
      <alignment horizontal="right"/>
    </xf>
    <xf numFmtId="1" fontId="0" fillId="0" borderId="0" xfId="0" applyNumberFormat="1"/>
    <xf numFmtId="9" fontId="0" fillId="0" borderId="0" xfId="0" applyNumberFormat="1"/>
    <xf numFmtId="0" fontId="13" fillId="0" borderId="0" xfId="0" applyFont="1" applyAlignment="1">
      <alignment vertical="top" wrapText="1"/>
    </xf>
    <xf numFmtId="0" fontId="8" fillId="3" borderId="4" xfId="0" applyFont="1" applyFill="1" applyBorder="1"/>
    <xf numFmtId="10" fontId="8" fillId="3" borderId="4" xfId="0" applyNumberFormat="1" applyFont="1" applyFill="1" applyBorder="1"/>
    <xf numFmtId="1" fontId="8" fillId="3" borderId="4" xfId="0" applyNumberFormat="1" applyFont="1" applyFill="1" applyBorder="1"/>
    <xf numFmtId="9" fontId="8" fillId="3" borderId="4" xfId="0" applyNumberFormat="1" applyFont="1" applyFill="1" applyBorder="1"/>
    <xf numFmtId="9" fontId="8" fillId="3" borderId="3" xfId="0" applyNumberFormat="1" applyFont="1" applyFill="1" applyBorder="1"/>
    <xf numFmtId="0" fontId="17" fillId="0" borderId="0" xfId="0" applyFont="1"/>
    <xf numFmtId="0" fontId="14" fillId="2" borderId="5" xfId="0" applyFont="1" applyFill="1" applyBorder="1" applyAlignment="1">
      <alignment wrapText="1"/>
    </xf>
    <xf numFmtId="0" fontId="15" fillId="2" borderId="6" xfId="0" applyFont="1" applyFill="1" applyBorder="1"/>
    <xf numFmtId="0" fontId="1" fillId="3" borderId="5" xfId="0" applyFont="1" applyFill="1" applyBorder="1" applyAlignment="1">
      <alignment horizontal="right"/>
    </xf>
    <xf numFmtId="0" fontId="1" fillId="3" borderId="5" xfId="0" applyFont="1" applyFill="1" applyBorder="1"/>
    <xf numFmtId="14" fontId="1" fillId="3" borderId="5" xfId="0" applyNumberFormat="1" applyFont="1" applyFill="1" applyBorder="1" applyAlignment="1">
      <alignment horizontal="right"/>
    </xf>
    <xf numFmtId="0" fontId="1" fillId="3" borderId="6" xfId="0" applyFont="1" applyFill="1" applyBorder="1" applyAlignment="1">
      <alignment wrapText="1"/>
    </xf>
    <xf numFmtId="0" fontId="1" fillId="0" borderId="5" xfId="0" applyFont="1" applyBorder="1" applyAlignment="1">
      <alignment horizontal="right"/>
    </xf>
    <xf numFmtId="0" fontId="1" fillId="0" borderId="5" xfId="0" applyFont="1" applyBorder="1"/>
    <xf numFmtId="14" fontId="1" fillId="0" borderId="5" xfId="0" applyNumberFormat="1" applyFont="1" applyBorder="1" applyAlignment="1">
      <alignment horizontal="right"/>
    </xf>
    <xf numFmtId="0" fontId="1" fillId="0" borderId="6" xfId="0" applyFont="1" applyBorder="1"/>
    <xf numFmtId="0" fontId="1" fillId="3" borderId="6" xfId="0" applyFont="1" applyFill="1" applyBorder="1"/>
    <xf numFmtId="0" fontId="1" fillId="0" borderId="7" xfId="0" applyFont="1" applyBorder="1" applyAlignment="1">
      <alignment horizontal="right"/>
    </xf>
    <xf numFmtId="0" fontId="1" fillId="0" borderId="7" xfId="0" applyFont="1" applyBorder="1"/>
    <xf numFmtId="14" fontId="1" fillId="0" borderId="7" xfId="0" applyNumberFormat="1" applyFont="1" applyBorder="1" applyAlignment="1">
      <alignment horizontal="right"/>
    </xf>
    <xf numFmtId="0" fontId="1" fillId="0" borderId="8" xfId="0" applyFont="1" applyBorder="1"/>
    <xf numFmtId="0" fontId="18" fillId="4" borderId="4" xfId="0" applyFont="1" applyFill="1" applyBorder="1" applyAlignment="1">
      <alignment wrapText="1"/>
    </xf>
    <xf numFmtId="0" fontId="18" fillId="4" borderId="4" xfId="0" applyFont="1" applyFill="1" applyBorder="1"/>
    <xf numFmtId="0" fontId="18" fillId="4" borderId="3" xfId="0" applyFont="1" applyFill="1" applyBorder="1" applyAlignment="1">
      <alignment wrapText="1"/>
    </xf>
    <xf numFmtId="0" fontId="1" fillId="0" borderId="0" xfId="0" applyFont="1" applyAlignment="1">
      <alignment horizontal="center"/>
    </xf>
    <xf numFmtId="9" fontId="1" fillId="0" borderId="0" xfId="0" applyNumberFormat="1" applyFont="1"/>
    <xf numFmtId="0" fontId="18" fillId="4" borderId="0" xfId="0" applyFont="1" applyFill="1" applyAlignment="1">
      <alignment wrapText="1"/>
    </xf>
    <xf numFmtId="1" fontId="1" fillId="0" borderId="0" xfId="0" applyNumberFormat="1" applyFont="1"/>
    <xf numFmtId="0" fontId="0" fillId="0" borderId="0" xfId="0" pivotButton="1"/>
    <xf numFmtId="0" fontId="8" fillId="4" borderId="0" xfId="0" applyFont="1" applyFill="1"/>
    <xf numFmtId="9" fontId="8" fillId="4" borderId="0" xfId="0" applyNumberFormat="1" applyFont="1" applyFill="1"/>
    <xf numFmtId="0" fontId="19" fillId="4" borderId="0" xfId="0" applyFont="1" applyFill="1" applyAlignment="1">
      <alignment horizontal="center"/>
    </xf>
    <xf numFmtId="0" fontId="3" fillId="0" borderId="0" xfId="0" applyFont="1" applyAlignment="1">
      <alignment vertical="top" wrapText="1"/>
    </xf>
    <xf numFmtId="0" fontId="4" fillId="0" borderId="0" xfId="0" applyFont="1" applyAlignment="1">
      <alignment vertical="top"/>
    </xf>
    <xf numFmtId="0" fontId="21" fillId="0" borderId="9" xfId="0" applyFont="1" applyBorder="1" applyAlignment="1">
      <alignment wrapText="1"/>
    </xf>
    <xf numFmtId="9" fontId="22" fillId="0" borderId="9" xfId="0" applyNumberFormat="1" applyFont="1" applyBorder="1" applyAlignment="1">
      <alignment wrapText="1"/>
    </xf>
    <xf numFmtId="0" fontId="0" fillId="0" borderId="10" xfId="0" applyBorder="1"/>
    <xf numFmtId="9" fontId="0" fillId="0" borderId="10" xfId="0" applyNumberFormat="1" applyBorder="1"/>
    <xf numFmtId="0" fontId="20" fillId="0" borderId="10" xfId="0" applyFont="1" applyBorder="1" applyAlignment="1">
      <alignment horizontal="center"/>
    </xf>
    <xf numFmtId="9" fontId="20" fillId="0" borderId="10" xfId="0" applyNumberFormat="1" applyFont="1" applyBorder="1" applyAlignment="1">
      <alignment horizontal="center"/>
    </xf>
    <xf numFmtId="0" fontId="23" fillId="0" borderId="10" xfId="0" applyFont="1" applyBorder="1" applyAlignment="1">
      <alignment horizontal="center"/>
    </xf>
    <xf numFmtId="0" fontId="0" fillId="0" borderId="0" xfId="0" applyAlignment="1">
      <alignment horizontal="left"/>
    </xf>
    <xf numFmtId="0" fontId="3" fillId="0" borderId="0" xfId="0" applyFont="1" applyAlignment="1">
      <alignment vertical="top" wrapText="1"/>
    </xf>
    <xf numFmtId="0" fontId="0" fillId="0" borderId="0" xfId="0"/>
    <xf numFmtId="0" fontId="4" fillId="0" borderId="0" xfId="0" applyFont="1" applyAlignment="1">
      <alignment vertical="top"/>
    </xf>
    <xf numFmtId="0" fontId="7" fillId="0" borderId="0" xfId="0" applyFont="1" applyAlignment="1">
      <alignment wrapText="1"/>
    </xf>
    <xf numFmtId="0" fontId="0" fillId="0" borderId="0" xfId="0" applyNumberFormat="1"/>
  </cellXfs>
  <cellStyles count="1">
    <cellStyle name="Normal" xfId="0" builtinId="0"/>
  </cellStyles>
  <dxfs count="81">
    <dxf>
      <font>
        <b val="0"/>
        <i val="0"/>
        <strike val="0"/>
        <condense val="0"/>
        <extend val="0"/>
        <outline val="0"/>
        <shadow val="0"/>
        <u val="none"/>
        <vertAlign val="baseline"/>
        <sz val="10"/>
        <color rgb="FF000000"/>
        <name val="Arial"/>
        <scheme val="minor"/>
      </font>
      <numFmt numFmtId="13" formatCode="0%"/>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13" formatCode="0%"/>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13" formatCode="0%"/>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13" formatCode="0%"/>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general" vertical="bottom" textRotation="0" wrapText="0" indent="0" justifyLastLine="0" shrinkToFit="0" readingOrder="0"/>
    </dxf>
    <dxf>
      <alignment wrapText="1"/>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1"/>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numFmt numFmtId="165" formatCode="m/d/yyyy"/>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numFmt numFmtId="165" formatCode="m/d/yyyy"/>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numFmt numFmtId="165" formatCode="m/d/yyyy"/>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right style="thin">
          <color rgb="FFB7B7B7"/>
        </right>
        <top style="thin">
          <color rgb="FFB7B7B7"/>
        </top>
        <bottom style="thin">
          <color rgb="FFB7B7B7"/>
        </bottom>
        <vertical/>
        <horizontal/>
      </border>
    </dxf>
    <dxf>
      <border outline="0">
        <left style="thin">
          <color rgb="FFB7B7B7"/>
        </left>
      </border>
    </dxf>
    <dxf>
      <numFmt numFmtId="0" formatCode="General"/>
    </dxf>
    <dxf>
      <numFmt numFmtId="0" formatCode="General"/>
    </dxf>
    <dxf>
      <font>
        <b val="0"/>
        <i val="0"/>
        <strike val="0"/>
        <condense val="0"/>
        <extend val="0"/>
        <outline val="0"/>
        <shadow val="0"/>
        <u val="none"/>
        <vertAlign val="baseline"/>
        <sz val="10"/>
        <color rgb="FF000000"/>
        <name val="Arial"/>
        <scheme val="minor"/>
      </font>
      <numFmt numFmtId="1" formatCode="0"/>
      <alignment horizontal="general" vertical="bottom" textRotation="0" wrapText="0" indent="0" justifyLastLine="0" shrinkToFit="0" readingOrder="0"/>
    </dxf>
    <dxf>
      <numFmt numFmtId="0" formatCode="General"/>
    </dxf>
    <dxf>
      <numFmt numFmtId="0" formatCode="General"/>
    </dxf>
    <dxf>
      <numFmt numFmtId="0" formatCode="General"/>
    </dxf>
    <dxf>
      <font>
        <b val="0"/>
        <i val="0"/>
        <strike val="0"/>
        <condense val="0"/>
        <extend val="0"/>
        <outline val="0"/>
        <shadow val="0"/>
        <u val="none"/>
        <vertAlign val="baseline"/>
        <sz val="10"/>
        <color rgb="FF000000"/>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numFmt numFmtId="165" formatCode="m/d/yyyy"/>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numFmt numFmtId="165" formatCode="m/d/yyyy"/>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numFmt numFmtId="165" formatCode="m/d/yyyy"/>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numFmt numFmtId="165" formatCode="m/d/yyyy"/>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right style="thin">
          <color rgb="FFB7B7B7"/>
        </right>
        <top style="thin">
          <color rgb="FFB7B7B7"/>
        </top>
        <bottom style="thin">
          <color rgb="FFB7B7B7"/>
        </bottom>
        <vertical/>
        <horizontal/>
      </border>
    </dxf>
    <dxf>
      <border outline="0">
        <left style="thin">
          <color rgb="FFB7B7B7"/>
        </left>
      </border>
    </dxf>
    <dxf>
      <numFmt numFmtId="0" formatCode="General"/>
    </dxf>
    <dxf>
      <numFmt numFmtId="13" formatCode="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numFmt numFmtId="0" formatCode="General"/>
    </dxf>
    <dxf>
      <numFmt numFmtId="0" formatCode="General"/>
    </dxf>
    <dxf>
      <font>
        <color theme="1"/>
      </font>
      <numFmt numFmtId="0" formatCode="General"/>
      <fill>
        <patternFill patternType="solid">
          <fgColor theme="4" tint="0.79998168889431442"/>
          <bgColor theme="4"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numFmt numFmtId="165" formatCode="m/d/yyyy"/>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numFmt numFmtId="165" formatCode="m/d/yyyy"/>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numFmt numFmtId="165" formatCode="m/d/yyyy"/>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border diagonalUp="0" diagonalDown="0">
        <left/>
        <right style="thin">
          <color rgb="FFB7B7B7"/>
        </right>
        <top style="thin">
          <color rgb="FFB7B7B7"/>
        </top>
        <bottom style="thin">
          <color rgb="FFB7B7B7"/>
        </bottom>
        <vertical/>
        <horizontal/>
      </border>
    </dxf>
    <dxf>
      <border outline="0">
        <left style="thin">
          <color rgb="FFB7B7B7"/>
        </left>
      </border>
    </dxf>
    <dxf>
      <numFmt numFmtId="0" formatCode="General"/>
    </dxf>
    <dxf>
      <numFmt numFmtId="0" formatCode="General"/>
    </dxf>
    <dxf>
      <numFmt numFmtId="0" formatCode="General"/>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numFmt numFmtId="13" formatCode="0%"/>
    </dxf>
    <dxf>
      <numFmt numFmtId="13" formatCode="0%"/>
    </dxf>
    <dxf>
      <font>
        <b val="0"/>
        <i val="0"/>
        <strike val="0"/>
        <condense val="0"/>
        <extend val="0"/>
        <outline val="0"/>
        <shadow val="0"/>
        <u val="none"/>
        <vertAlign val="baseline"/>
        <sz val="10"/>
        <color rgb="FF000000"/>
        <name val="Arial"/>
        <scheme val="minor"/>
      </font>
      <numFmt numFmtId="1" formatCode="0"/>
      <alignment horizontal="general" vertical="bottom" textRotation="0" wrapText="0" indent="0" justifyLastLine="0" shrinkToFit="0" readingOrder="0"/>
    </dxf>
    <dxf>
      <numFmt numFmtId="0" formatCode="General"/>
    </dxf>
    <dxf>
      <numFmt numFmtId="0" formatCode="General"/>
    </dxf>
    <dxf>
      <numFmt numFmtId="164" formatCode="0.0"/>
    </dxf>
    <dxf>
      <numFmt numFmtId="0" formatCode="General"/>
    </dxf>
    <dxf>
      <font>
        <b val="0"/>
        <i val="0"/>
        <strike val="0"/>
        <condense val="0"/>
        <extend val="0"/>
        <outline val="0"/>
        <shadow val="0"/>
        <u val="none"/>
        <vertAlign val="baseline"/>
        <sz val="10"/>
        <color theme="1"/>
        <name val="Arial"/>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numFmt numFmtId="165" formatCode="m/d/yyyy"/>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numFmt numFmtId="165" formatCode="m/d/yyyy"/>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numFmt numFmtId="165" formatCode="m/d/yyyy"/>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right style="thin">
          <color rgb="FFB7B7B7"/>
        </right>
        <top style="thin">
          <color rgb="FFB7B7B7"/>
        </top>
        <bottom style="thin">
          <color rgb="FFB7B7B7"/>
        </bottom>
        <vertical/>
        <horizontal/>
      </border>
    </dxf>
    <dxf>
      <border outline="0">
        <left style="thin">
          <color rgb="FFB7B7B7"/>
        </left>
      </border>
    </dxf>
  </dxfs>
  <tableStyles count="0" defaultTableStyle="TableStyleMedium2" defaultPivotStyle="PivotStyleLight16"/>
  <colors>
    <mruColors>
      <color rgb="FF3F86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[Readmissions_Data-4.xlsx]Sheet2!PivotLineGraph</c:name>
    <c:fmtId val="3"/>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37510936132984"/>
          <c:y val="0.12962962962962962"/>
          <c:w val="0.72154133858267722"/>
          <c:h val="0.75245370370370368"/>
        </c:manualLayout>
      </c:layout>
      <c:lineChart>
        <c:grouping val="standard"/>
        <c:varyColors val="0"/>
        <c:ser>
          <c:idx val="0"/>
          <c:order val="0"/>
          <c:tx>
            <c:strRef>
              <c:f>Sheet2!$B$3:$B$4</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Sheet2!$A$5:$A$11</c:f>
              <c:strCache>
                <c:ptCount val="6"/>
                <c:pt idx="0">
                  <c:v>Jan</c:v>
                </c:pt>
                <c:pt idx="1">
                  <c:v>Feb</c:v>
                </c:pt>
                <c:pt idx="2">
                  <c:v>Mar</c:v>
                </c:pt>
                <c:pt idx="3">
                  <c:v>Apr</c:v>
                </c:pt>
                <c:pt idx="4">
                  <c:v>May</c:v>
                </c:pt>
                <c:pt idx="5">
                  <c:v>Jun</c:v>
                </c:pt>
              </c:strCache>
            </c:strRef>
          </c:cat>
          <c:val>
            <c:numRef>
              <c:f>Sheet2!$B$5:$B$11</c:f>
              <c:numCache>
                <c:formatCode>General</c:formatCode>
                <c:ptCount val="6"/>
                <c:pt idx="0">
                  <c:v>2</c:v>
                </c:pt>
                <c:pt idx="1">
                  <c:v>1</c:v>
                </c:pt>
                <c:pt idx="2">
                  <c:v>2</c:v>
                </c:pt>
                <c:pt idx="3">
                  <c:v>3</c:v>
                </c:pt>
                <c:pt idx="4">
                  <c:v>1</c:v>
                </c:pt>
                <c:pt idx="5">
                  <c:v>1</c:v>
                </c:pt>
              </c:numCache>
            </c:numRef>
          </c:val>
          <c:smooth val="0"/>
          <c:extLst>
            <c:ext xmlns:c16="http://schemas.microsoft.com/office/drawing/2014/chart" uri="{C3380CC4-5D6E-409C-BE32-E72D297353CC}">
              <c16:uniqueId val="{00000000-81F6-0042-B740-2C2A60FB0274}"/>
            </c:ext>
          </c:extLst>
        </c:ser>
        <c:dLbls>
          <c:dLblPos val="ctr"/>
          <c:showLegendKey val="0"/>
          <c:showVal val="1"/>
          <c:showCatName val="0"/>
          <c:showSerName val="0"/>
          <c:showPercent val="0"/>
          <c:showBubbleSize val="0"/>
        </c:dLbls>
        <c:marker val="1"/>
        <c:smooth val="0"/>
        <c:axId val="954574176"/>
        <c:axId val="1513352976"/>
      </c:lineChart>
      <c:catAx>
        <c:axId val="954574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Readmissions Per Month By Region </a:t>
                </a:r>
              </a:p>
            </c:rich>
          </c:tx>
          <c:layout>
            <c:manualLayout>
              <c:xMode val="edge"/>
              <c:yMode val="edge"/>
              <c:x val="0.20647900262467195"/>
              <c:y val="3.013888888888888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352976"/>
        <c:crosses val="autoZero"/>
        <c:auto val="1"/>
        <c:lblAlgn val="ctr"/>
        <c:lblOffset val="100"/>
        <c:noMultiLvlLbl val="0"/>
      </c:catAx>
      <c:valAx>
        <c:axId val="151335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57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[Readmissions_Data-4.xlsx]Pivot-Table!PivotPDVReadmin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Readmissions with Post Discharge Visit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77E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'Pivot-Table'!$F$9</c:f>
              <c:strCache>
                <c:ptCount val="1"/>
                <c:pt idx="0">
                  <c:v>Total</c:v>
                </c:pt>
              </c:strCache>
            </c:strRef>
          </c:tx>
          <c:spPr>
            <a:solidFill>
              <a:srgbClr val="277E40"/>
            </a:solidFill>
            <a:ln>
              <a:noFill/>
            </a:ln>
            <a:effectLst/>
          </c:spPr>
          <c:invertIfNegative val="0"/>
          <c:cat>
            <c:strRef>
              <c:f>'Pivot-Table'!$E$10:$E$15</c:f>
              <c:strCache>
                <c:ptCount val="5"/>
                <c:pt idx="0">
                  <c:v>IL</c:v>
                </c:pt>
                <c:pt idx="1">
                  <c:v>IN </c:v>
                </c:pt>
                <c:pt idx="2">
                  <c:v>MI </c:v>
                </c:pt>
                <c:pt idx="3">
                  <c:v>PA </c:v>
                </c:pt>
                <c:pt idx="4">
                  <c:v>TX </c:v>
                </c:pt>
              </c:strCache>
            </c:strRef>
          </c:cat>
          <c:val>
            <c:numRef>
              <c:f>'Pivot-Table'!$F$10:$F$15</c:f>
              <c:numCache>
                <c:formatCode>0%</c:formatCode>
                <c:ptCount val="5"/>
                <c:pt idx="0">
                  <c:v>0.64</c:v>
                </c:pt>
                <c:pt idx="1">
                  <c:v>0.86</c:v>
                </c:pt>
                <c:pt idx="2">
                  <c:v>0.8</c:v>
                </c:pt>
                <c:pt idx="3">
                  <c:v>0.3</c:v>
                </c:pt>
                <c:pt idx="4">
                  <c:v>0.73</c:v>
                </c:pt>
              </c:numCache>
            </c:numRef>
          </c:val>
          <c:extLst>
            <c:ext xmlns:c16="http://schemas.microsoft.com/office/drawing/2014/chart" uri="{C3380CC4-5D6E-409C-BE32-E72D297353CC}">
              <c16:uniqueId val="{00000000-5040-49D1-AB02-51A6BDF0F6DA}"/>
            </c:ext>
          </c:extLst>
        </c:ser>
        <c:dLbls>
          <c:showLegendKey val="0"/>
          <c:showVal val="0"/>
          <c:showCatName val="0"/>
          <c:showSerName val="0"/>
          <c:showPercent val="0"/>
          <c:showBubbleSize val="0"/>
        </c:dLbls>
        <c:gapWidth val="219"/>
        <c:overlap val="-27"/>
        <c:axId val="1046057991"/>
        <c:axId val="1046060551"/>
      </c:barChart>
      <c:catAx>
        <c:axId val="1046057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060551"/>
        <c:crosses val="autoZero"/>
        <c:auto val="1"/>
        <c:lblAlgn val="ctr"/>
        <c:lblOffset val="100"/>
        <c:noMultiLvlLbl val="0"/>
      </c:catAx>
      <c:valAx>
        <c:axId val="10460605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057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[Readmissions_Data-4.xlsx]Pivot-Table!PivotReadmin</c:name>
    <c:fmtId val="0"/>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Percent of Readmissions </a:t>
            </a:r>
          </a:p>
        </c:rich>
      </c:tx>
      <c:overlay val="0"/>
      <c:spPr>
        <a:noFill/>
        <a:ln w="25400">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1A5529"/>
          </a:solidFill>
          <a:ln>
            <a:solidFill>
              <a:srgbClr val="1A5529"/>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'Pivot-Table'!$G$44</c:f>
              <c:strCache>
                <c:ptCount val="1"/>
                <c:pt idx="0">
                  <c:v>Total</c:v>
                </c:pt>
              </c:strCache>
            </c:strRef>
          </c:tx>
          <c:spPr>
            <a:solidFill>
              <a:srgbClr val="1A5529"/>
            </a:solidFill>
            <a:ln>
              <a:solidFill>
                <a:srgbClr val="1A5529"/>
              </a:solidFill>
              <a:prstDash val="solid"/>
            </a:ln>
            <a:effectLst/>
          </c:spPr>
          <c:invertIfNegative val="0"/>
          <c:cat>
            <c:strRef>
              <c:f>'Pivot-Table'!$F$45:$F$50</c:f>
              <c:strCache>
                <c:ptCount val="5"/>
                <c:pt idx="0">
                  <c:v>PA </c:v>
                </c:pt>
                <c:pt idx="1">
                  <c:v>TX </c:v>
                </c:pt>
                <c:pt idx="2">
                  <c:v>IN </c:v>
                </c:pt>
                <c:pt idx="3">
                  <c:v>MI </c:v>
                </c:pt>
                <c:pt idx="4">
                  <c:v>IL</c:v>
                </c:pt>
              </c:strCache>
            </c:strRef>
          </c:cat>
          <c:val>
            <c:numRef>
              <c:f>'Pivot-Table'!$G$45:$G$50</c:f>
              <c:numCache>
                <c:formatCode>0%</c:formatCode>
                <c:ptCount val="5"/>
                <c:pt idx="0">
                  <c:v>0.24</c:v>
                </c:pt>
                <c:pt idx="1">
                  <c:v>0.22</c:v>
                </c:pt>
                <c:pt idx="2">
                  <c:v>0.22</c:v>
                </c:pt>
                <c:pt idx="3">
                  <c:v>0.16</c:v>
                </c:pt>
                <c:pt idx="4">
                  <c:v>0.14000000000000001</c:v>
                </c:pt>
              </c:numCache>
            </c:numRef>
          </c:val>
          <c:extLst>
            <c:ext xmlns:c16="http://schemas.microsoft.com/office/drawing/2014/chart" uri="{C3380CC4-5D6E-409C-BE32-E72D297353CC}">
              <c16:uniqueId val="{00000000-6AC7-4307-9B36-295DCF0749D9}"/>
            </c:ext>
          </c:extLst>
        </c:ser>
        <c:dLbls>
          <c:showLegendKey val="0"/>
          <c:showVal val="0"/>
          <c:showCatName val="0"/>
          <c:showSerName val="0"/>
          <c:showPercent val="0"/>
          <c:showBubbleSize val="0"/>
        </c:dLbls>
        <c:gapWidth val="219"/>
        <c:overlap val="-27"/>
        <c:axId val="56514055"/>
        <c:axId val="56545287"/>
      </c:barChart>
      <c:catAx>
        <c:axId val="56514055"/>
        <c:scaling>
          <c:orientation val="minMax"/>
        </c:scaling>
        <c:delete val="0"/>
        <c:axPos val="b"/>
        <c:numFmt formatCode="General" sourceLinked="1"/>
        <c:majorTickMark val="none"/>
        <c:minorTickMark val="none"/>
        <c:tickLblPos val="nextTo"/>
        <c:spPr>
          <a:solidFill>
            <a:srgbClr val="FFFFFF"/>
          </a:solidFill>
          <a:ln w="9525" cap="flat" cmpd="sng" algn="ctr">
            <a:solidFill>
              <a:srgbClr val="000000"/>
            </a:solidFill>
            <a:prstDash val="solid"/>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56545287"/>
        <c:crosses val="autoZero"/>
        <c:auto val="1"/>
        <c:lblAlgn val="ctr"/>
        <c:lblOffset val="100"/>
        <c:noMultiLvlLbl val="0"/>
      </c:catAx>
      <c:valAx>
        <c:axId val="56545287"/>
        <c:scaling>
          <c:orientation val="minMax"/>
        </c:scaling>
        <c:delete val="0"/>
        <c:axPos val="l"/>
        <c:numFmt formatCode="0%" sourceLinked="1"/>
        <c:majorTickMark val="none"/>
        <c:minorTickMark val="none"/>
        <c:tickLblPos val="nextTo"/>
        <c:spPr>
          <a:noFill/>
          <a:ln>
            <a:solidFill>
              <a:srgbClr val="1A5529"/>
            </a:solidFill>
            <a:prstDash val="soli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565140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Readmission</a:t>
            </a:r>
            <a:r>
              <a:rPr lang="en-US" baseline="0"/>
              <a:t> Rate With PDV and No PDV</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'Pivot-Table'!$F$83</c:f>
              <c:strCache>
                <c:ptCount val="1"/>
                <c:pt idx="0">
                  <c:v>Readmission Rate (With PDV)</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'Pivot-Table'!$E$84:$E$88</c:f>
              <c:strCache>
                <c:ptCount val="5"/>
                <c:pt idx="0">
                  <c:v>PA</c:v>
                </c:pt>
                <c:pt idx="1">
                  <c:v>IL</c:v>
                </c:pt>
                <c:pt idx="2">
                  <c:v>TX</c:v>
                </c:pt>
                <c:pt idx="3">
                  <c:v>MI</c:v>
                </c:pt>
                <c:pt idx="4">
                  <c:v>IN</c:v>
                </c:pt>
              </c:strCache>
            </c:strRef>
          </c:cat>
          <c:val>
            <c:numRef>
              <c:f>'Pivot-Table'!$F$84:$F$88</c:f>
              <c:numCache>
                <c:formatCode>0%</c:formatCode>
                <c:ptCount val="5"/>
                <c:pt idx="0">
                  <c:v>0.3</c:v>
                </c:pt>
                <c:pt idx="1">
                  <c:v>0.65</c:v>
                </c:pt>
                <c:pt idx="2">
                  <c:v>0.7</c:v>
                </c:pt>
                <c:pt idx="3">
                  <c:v>0.8</c:v>
                </c:pt>
                <c:pt idx="4">
                  <c:v>0.75</c:v>
                </c:pt>
              </c:numCache>
            </c:numRef>
          </c:val>
          <c:extLst>
            <c:ext xmlns:c16="http://schemas.microsoft.com/office/drawing/2014/chart" uri="{C3380CC4-5D6E-409C-BE32-E72D297353CC}">
              <c16:uniqueId val="{00000000-F5E1-4F59-AC39-FACE51C715FD}"/>
            </c:ext>
          </c:extLst>
        </c:ser>
        <c:ser>
          <c:idx val="1"/>
          <c:order val="1"/>
          <c:tx>
            <c:strRef>
              <c:f>'Pivot-Table'!$G$83</c:f>
              <c:strCache>
                <c:ptCount val="1"/>
                <c:pt idx="0">
                  <c:v>Readmission Rate (No PDV)</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'Pivot-Table'!$E$84:$E$88</c:f>
              <c:strCache>
                <c:ptCount val="5"/>
                <c:pt idx="0">
                  <c:v>PA</c:v>
                </c:pt>
                <c:pt idx="1">
                  <c:v>IL</c:v>
                </c:pt>
                <c:pt idx="2">
                  <c:v>TX</c:v>
                </c:pt>
                <c:pt idx="3">
                  <c:v>MI</c:v>
                </c:pt>
                <c:pt idx="4">
                  <c:v>IN</c:v>
                </c:pt>
              </c:strCache>
            </c:strRef>
          </c:cat>
          <c:val>
            <c:numRef>
              <c:f>'Pivot-Table'!$G$84:$G$88</c:f>
              <c:numCache>
                <c:formatCode>0%</c:formatCode>
                <c:ptCount val="5"/>
                <c:pt idx="0">
                  <c:v>0.7</c:v>
                </c:pt>
                <c:pt idx="1">
                  <c:v>0.35</c:v>
                </c:pt>
                <c:pt idx="2">
                  <c:v>0.25</c:v>
                </c:pt>
                <c:pt idx="3">
                  <c:v>0.2</c:v>
                </c:pt>
                <c:pt idx="4">
                  <c:v>0.15</c:v>
                </c:pt>
              </c:numCache>
            </c:numRef>
          </c:val>
          <c:extLst>
            <c:ext xmlns:c16="http://schemas.microsoft.com/office/drawing/2014/chart" uri="{C3380CC4-5D6E-409C-BE32-E72D297353CC}">
              <c16:uniqueId val="{00000002-F5E1-4F59-AC39-FACE51C715FD}"/>
            </c:ext>
          </c:extLst>
        </c:ser>
        <c:dLbls>
          <c:dLblPos val="inEnd"/>
          <c:showLegendKey val="0"/>
          <c:showVal val="1"/>
          <c:showCatName val="0"/>
          <c:showSerName val="0"/>
          <c:showPercent val="0"/>
          <c:showBubbleSize val="0"/>
        </c:dLbls>
        <c:gapWidth val="100"/>
        <c:overlap val="-24"/>
        <c:axId val="2079740936"/>
        <c:axId val="2079742984"/>
      </c:barChart>
      <c:catAx>
        <c:axId val="2079740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42984"/>
        <c:crosses val="autoZero"/>
        <c:auto val="1"/>
        <c:lblAlgn val="ctr"/>
        <c:lblOffset val="100"/>
        <c:noMultiLvlLbl val="0"/>
      </c:catAx>
      <c:valAx>
        <c:axId val="20797429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40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[Readmissions_Data-4.xlsx]Pivot-Table!PivotRegionsReadmin</c:name>
    <c:fmtId val="0"/>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'Pivot-Table'!$E$123:$E$124</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'Pivot-Table'!$D$125:$D$131</c:f>
              <c:strCache>
                <c:ptCount val="6"/>
                <c:pt idx="0">
                  <c:v>Jan</c:v>
                </c:pt>
                <c:pt idx="1">
                  <c:v>Feb</c:v>
                </c:pt>
                <c:pt idx="2">
                  <c:v>Mar</c:v>
                </c:pt>
                <c:pt idx="3">
                  <c:v>Apr</c:v>
                </c:pt>
                <c:pt idx="4">
                  <c:v>May</c:v>
                </c:pt>
                <c:pt idx="5">
                  <c:v>Jun</c:v>
                </c:pt>
              </c:strCache>
            </c:strRef>
          </c:cat>
          <c:val>
            <c:numRef>
              <c:f>'Pivot-Table'!$E$125:$E$131</c:f>
              <c:numCache>
                <c:formatCode>General</c:formatCode>
                <c:ptCount val="6"/>
                <c:pt idx="0">
                  <c:v>2</c:v>
                </c:pt>
                <c:pt idx="1">
                  <c:v>1</c:v>
                </c:pt>
                <c:pt idx="2">
                  <c:v>2</c:v>
                </c:pt>
                <c:pt idx="3">
                  <c:v>3</c:v>
                </c:pt>
                <c:pt idx="4">
                  <c:v>1</c:v>
                </c:pt>
                <c:pt idx="5">
                  <c:v>1</c:v>
                </c:pt>
              </c:numCache>
            </c:numRef>
          </c:val>
          <c:smooth val="0"/>
          <c:extLst>
            <c:ext xmlns:c16="http://schemas.microsoft.com/office/drawing/2014/chart" uri="{C3380CC4-5D6E-409C-BE32-E72D297353CC}">
              <c16:uniqueId val="{00000000-2BB5-8F49-BE2B-06C6052865C0}"/>
            </c:ext>
          </c:extLst>
        </c:ser>
        <c:dLbls>
          <c:showLegendKey val="0"/>
          <c:showVal val="0"/>
          <c:showCatName val="0"/>
          <c:showSerName val="0"/>
          <c:showPercent val="0"/>
          <c:showBubbleSize val="0"/>
        </c:dLbls>
        <c:marker val="1"/>
        <c:smooth val="0"/>
        <c:axId val="998487776"/>
        <c:axId val="1017458912"/>
      </c:lineChart>
      <c:catAx>
        <c:axId val="99848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458912"/>
        <c:crosses val="autoZero"/>
        <c:auto val="1"/>
        <c:lblAlgn val="ctr"/>
        <c:lblOffset val="100"/>
        <c:noMultiLvlLbl val="0"/>
      </c:catAx>
      <c:valAx>
        <c:axId val="101745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48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[Readmissions_Data-4.xlsx]Pivot-Table!PivotPDVReadmin</c:name>
    <c:fmtId val="4"/>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Percentage of Readmissions with Post Discharge Visit </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277E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77E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77E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77E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77E40"/>
          </a:solidFill>
          <a:ln>
            <a:solidFill>
              <a:srgbClr val="1A5529"/>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'Pivot-Table'!$F$9</c:f>
              <c:strCache>
                <c:ptCount val="1"/>
                <c:pt idx="0">
                  <c:v>Total</c:v>
                </c:pt>
              </c:strCache>
            </c:strRef>
          </c:tx>
          <c:spPr>
            <a:solidFill>
              <a:srgbClr val="277E40"/>
            </a:solidFill>
            <a:ln>
              <a:solidFill>
                <a:srgbClr val="1A5529"/>
              </a:solidFill>
              <a:prstDash val="solid"/>
            </a:ln>
            <a:effectLst/>
          </c:spPr>
          <c:invertIfNegative val="0"/>
          <c:cat>
            <c:strRef>
              <c:f>'Pivot-Table'!$E$10:$E$15</c:f>
              <c:strCache>
                <c:ptCount val="5"/>
                <c:pt idx="0">
                  <c:v>IL</c:v>
                </c:pt>
                <c:pt idx="1">
                  <c:v>IN </c:v>
                </c:pt>
                <c:pt idx="2">
                  <c:v>MI </c:v>
                </c:pt>
                <c:pt idx="3">
                  <c:v>PA </c:v>
                </c:pt>
                <c:pt idx="4">
                  <c:v>TX </c:v>
                </c:pt>
              </c:strCache>
            </c:strRef>
          </c:cat>
          <c:val>
            <c:numRef>
              <c:f>'Pivot-Table'!$F$10:$F$15</c:f>
              <c:numCache>
                <c:formatCode>0%</c:formatCode>
                <c:ptCount val="5"/>
                <c:pt idx="0">
                  <c:v>0.64</c:v>
                </c:pt>
                <c:pt idx="1">
                  <c:v>0.86</c:v>
                </c:pt>
                <c:pt idx="2">
                  <c:v>0.8</c:v>
                </c:pt>
                <c:pt idx="3">
                  <c:v>0.3</c:v>
                </c:pt>
                <c:pt idx="4">
                  <c:v>0.73</c:v>
                </c:pt>
              </c:numCache>
            </c:numRef>
          </c:val>
          <c:extLst>
            <c:ext xmlns:c16="http://schemas.microsoft.com/office/drawing/2014/chart" uri="{C3380CC4-5D6E-409C-BE32-E72D297353CC}">
              <c16:uniqueId val="{00000000-2A64-4E7A-A755-68296AA3A38A}"/>
            </c:ext>
          </c:extLst>
        </c:ser>
        <c:dLbls>
          <c:showLegendKey val="0"/>
          <c:showVal val="0"/>
          <c:showCatName val="0"/>
          <c:showSerName val="0"/>
          <c:showPercent val="0"/>
          <c:showBubbleSize val="0"/>
        </c:dLbls>
        <c:gapWidth val="219"/>
        <c:overlap val="-27"/>
        <c:axId val="1046057991"/>
        <c:axId val="1046060551"/>
      </c:barChart>
      <c:catAx>
        <c:axId val="1046057991"/>
        <c:scaling>
          <c:orientation val="minMax"/>
        </c:scaling>
        <c:delete val="0"/>
        <c:axPos val="b"/>
        <c:numFmt formatCode="General" sourceLinked="1"/>
        <c:majorTickMark val="none"/>
        <c:minorTickMark val="none"/>
        <c:tickLblPos val="nextTo"/>
        <c:spPr>
          <a:noFill/>
          <a:ln w="9525" cap="flat" cmpd="sng" algn="ctr">
            <a:solidFill>
              <a:srgbClr val="1A5529"/>
            </a:solidFill>
            <a:prstDash val="solid"/>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046060551"/>
        <c:crosses val="autoZero"/>
        <c:auto val="1"/>
        <c:lblAlgn val="ctr"/>
        <c:lblOffset val="100"/>
        <c:noMultiLvlLbl val="0"/>
      </c:catAx>
      <c:valAx>
        <c:axId val="1046060551"/>
        <c:scaling>
          <c:orientation val="minMax"/>
        </c:scaling>
        <c:delete val="0"/>
        <c:axPos val="l"/>
        <c:numFmt formatCode="0%" sourceLinked="1"/>
        <c:majorTickMark val="none"/>
        <c:minorTickMark val="none"/>
        <c:tickLblPos val="nextTo"/>
        <c:spPr>
          <a:noFill/>
          <a:ln>
            <a:solidFill>
              <a:srgbClr val="1A5529"/>
            </a:solidFill>
            <a:prstDash val="soli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046057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[Readmissions_Data-4.xlsx]Pivot-Table!PivotReadmin</c:name>
    <c:fmtId val="4"/>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Percent of Readmissions </a:t>
            </a:r>
          </a:p>
        </c:rich>
      </c:tx>
      <c:overlay val="0"/>
      <c:spPr>
        <a:noFill/>
        <a:ln w="25400">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1A5529"/>
          </a:solidFill>
          <a:ln>
            <a:solidFill>
              <a:srgbClr val="1A5529"/>
            </a:solidFill>
            <a:prstDash val="soli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A5529"/>
          </a:solidFill>
          <a:ln>
            <a:solidFill>
              <a:srgbClr val="1A5529"/>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5529"/>
          </a:solidFill>
          <a:ln>
            <a:solidFill>
              <a:srgbClr val="1A5529"/>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A5529"/>
          </a:solidFill>
          <a:ln>
            <a:solidFill>
              <a:srgbClr val="1A5529"/>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77E40"/>
          </a:solidFill>
          <a:ln>
            <a:solidFill>
              <a:srgbClr val="277E4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'Pivot-Table'!$G$44</c:f>
              <c:strCache>
                <c:ptCount val="1"/>
                <c:pt idx="0">
                  <c:v>Total</c:v>
                </c:pt>
              </c:strCache>
            </c:strRef>
          </c:tx>
          <c:spPr>
            <a:solidFill>
              <a:srgbClr val="277E40"/>
            </a:solidFill>
            <a:ln>
              <a:solidFill>
                <a:srgbClr val="277E40"/>
              </a:solidFill>
              <a:prstDash val="solid"/>
            </a:ln>
            <a:effectLst/>
          </c:spPr>
          <c:invertIfNegative val="0"/>
          <c:cat>
            <c:strRef>
              <c:f>'Pivot-Table'!$F$45:$F$50</c:f>
              <c:strCache>
                <c:ptCount val="5"/>
                <c:pt idx="0">
                  <c:v>PA </c:v>
                </c:pt>
                <c:pt idx="1">
                  <c:v>TX </c:v>
                </c:pt>
                <c:pt idx="2">
                  <c:v>IN </c:v>
                </c:pt>
                <c:pt idx="3">
                  <c:v>MI </c:v>
                </c:pt>
                <c:pt idx="4">
                  <c:v>IL</c:v>
                </c:pt>
              </c:strCache>
            </c:strRef>
          </c:cat>
          <c:val>
            <c:numRef>
              <c:f>'Pivot-Table'!$G$45:$G$50</c:f>
              <c:numCache>
                <c:formatCode>0%</c:formatCode>
                <c:ptCount val="5"/>
                <c:pt idx="0">
                  <c:v>0.24</c:v>
                </c:pt>
                <c:pt idx="1">
                  <c:v>0.22</c:v>
                </c:pt>
                <c:pt idx="2">
                  <c:v>0.22</c:v>
                </c:pt>
                <c:pt idx="3">
                  <c:v>0.16</c:v>
                </c:pt>
                <c:pt idx="4">
                  <c:v>0.14000000000000001</c:v>
                </c:pt>
              </c:numCache>
            </c:numRef>
          </c:val>
          <c:extLst>
            <c:ext xmlns:c16="http://schemas.microsoft.com/office/drawing/2014/chart" uri="{C3380CC4-5D6E-409C-BE32-E72D297353CC}">
              <c16:uniqueId val="{00000000-753E-4B25-BF37-43D57C0499C1}"/>
            </c:ext>
          </c:extLst>
        </c:ser>
        <c:dLbls>
          <c:showLegendKey val="0"/>
          <c:showVal val="0"/>
          <c:showCatName val="0"/>
          <c:showSerName val="0"/>
          <c:showPercent val="0"/>
          <c:showBubbleSize val="0"/>
        </c:dLbls>
        <c:gapWidth val="219"/>
        <c:overlap val="-27"/>
        <c:axId val="56514055"/>
        <c:axId val="56545287"/>
      </c:barChart>
      <c:catAx>
        <c:axId val="56514055"/>
        <c:scaling>
          <c:orientation val="minMax"/>
        </c:scaling>
        <c:delete val="0"/>
        <c:axPos val="b"/>
        <c:numFmt formatCode="General" sourceLinked="1"/>
        <c:majorTickMark val="none"/>
        <c:minorTickMark val="none"/>
        <c:tickLblPos val="nextTo"/>
        <c:spPr>
          <a:solidFill>
            <a:srgbClr val="FFFFFF"/>
          </a:solidFill>
          <a:ln w="9525" cap="flat" cmpd="sng" algn="ctr">
            <a:solidFill>
              <a:srgbClr val="000000"/>
            </a:solidFill>
            <a:prstDash val="solid"/>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56545287"/>
        <c:crosses val="autoZero"/>
        <c:auto val="1"/>
        <c:lblAlgn val="ctr"/>
        <c:lblOffset val="100"/>
        <c:noMultiLvlLbl val="0"/>
      </c:catAx>
      <c:valAx>
        <c:axId val="56545287"/>
        <c:scaling>
          <c:orientation val="minMax"/>
        </c:scaling>
        <c:delete val="0"/>
        <c:axPos val="l"/>
        <c:numFmt formatCode="0%" sourceLinked="1"/>
        <c:majorTickMark val="none"/>
        <c:minorTickMark val="none"/>
        <c:tickLblPos val="nextTo"/>
        <c:spPr>
          <a:noFill/>
          <a:ln>
            <a:solidFill>
              <a:srgbClr val="1A5529"/>
            </a:solidFill>
            <a:prstDash val="soli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565140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[Readmissions_Data-4.xlsx]Pivot-Table!PivotDays</c:name>
    <c:fmtId val="4"/>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Average Days Between Initial Discharge and Post Discharge Visit</a:t>
            </a:r>
          </a:p>
        </c:rich>
      </c:tx>
      <c:layout>
        <c:manualLayout>
          <c:xMode val="edge"/>
          <c:yMode val="edge"/>
          <c:x val="0.1072707786526684"/>
          <c:y val="3.12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277E40"/>
          </a:solidFill>
          <a:ln>
            <a:solidFill>
              <a:srgbClr val="277E4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77E40"/>
          </a:solidFill>
          <a:ln>
            <a:solidFill>
              <a:srgbClr val="277E4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77E40"/>
          </a:solidFill>
          <a:ln>
            <a:solidFill>
              <a:srgbClr val="277E4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77E40"/>
          </a:solidFill>
          <a:ln>
            <a:solidFill>
              <a:srgbClr val="277E4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77E40"/>
          </a:solidFill>
          <a:ln>
            <a:solidFill>
              <a:srgbClr val="277E4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'Pivot-Table'!$F$17</c:f>
              <c:strCache>
                <c:ptCount val="1"/>
                <c:pt idx="0">
                  <c:v>Total</c:v>
                </c:pt>
              </c:strCache>
            </c:strRef>
          </c:tx>
          <c:spPr>
            <a:solidFill>
              <a:srgbClr val="277E40"/>
            </a:solidFill>
            <a:ln>
              <a:solidFill>
                <a:srgbClr val="277E40"/>
              </a:solidFill>
              <a:prstDash val="solid"/>
            </a:ln>
            <a:effectLst/>
          </c:spPr>
          <c:invertIfNegative val="0"/>
          <c:cat>
            <c:strRef>
              <c:f>'Pivot-Table'!$E$18:$E$23</c:f>
              <c:strCache>
                <c:ptCount val="5"/>
                <c:pt idx="0">
                  <c:v>TX </c:v>
                </c:pt>
                <c:pt idx="1">
                  <c:v>IN </c:v>
                </c:pt>
                <c:pt idx="2">
                  <c:v>PA </c:v>
                </c:pt>
                <c:pt idx="3">
                  <c:v>IL</c:v>
                </c:pt>
                <c:pt idx="4">
                  <c:v>MI </c:v>
                </c:pt>
              </c:strCache>
            </c:strRef>
          </c:cat>
          <c:val>
            <c:numRef>
              <c:f>'Pivot-Table'!$F$18:$F$23</c:f>
              <c:numCache>
                <c:formatCode>General</c:formatCode>
                <c:ptCount val="5"/>
                <c:pt idx="0">
                  <c:v>14</c:v>
                </c:pt>
                <c:pt idx="1">
                  <c:v>13</c:v>
                </c:pt>
                <c:pt idx="2">
                  <c:v>12</c:v>
                </c:pt>
                <c:pt idx="3">
                  <c:v>11</c:v>
                </c:pt>
                <c:pt idx="4">
                  <c:v>10</c:v>
                </c:pt>
              </c:numCache>
            </c:numRef>
          </c:val>
          <c:extLst>
            <c:ext xmlns:c16="http://schemas.microsoft.com/office/drawing/2014/chart" uri="{C3380CC4-5D6E-409C-BE32-E72D297353CC}">
              <c16:uniqueId val="{00000000-9DCC-4E3A-A87A-FBB4BA660BEF}"/>
            </c:ext>
          </c:extLst>
        </c:ser>
        <c:dLbls>
          <c:showLegendKey val="0"/>
          <c:showVal val="0"/>
          <c:showCatName val="0"/>
          <c:showSerName val="0"/>
          <c:showPercent val="0"/>
          <c:showBubbleSize val="0"/>
        </c:dLbls>
        <c:gapWidth val="182"/>
        <c:axId val="165377543"/>
        <c:axId val="165379591"/>
      </c:barChart>
      <c:catAx>
        <c:axId val="165377543"/>
        <c:scaling>
          <c:orientation val="minMax"/>
        </c:scaling>
        <c:delete val="0"/>
        <c:axPos val="l"/>
        <c:numFmt formatCode="General" sourceLinked="1"/>
        <c:majorTickMark val="none"/>
        <c:minorTickMark val="none"/>
        <c:tickLblPos val="nextTo"/>
        <c:spPr>
          <a:noFill/>
          <a:ln w="9525" cap="flat" cmpd="sng" algn="ctr">
            <a:solidFill>
              <a:srgbClr val="277E40"/>
            </a:solidFill>
            <a:prstDash val="solid"/>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65379591"/>
        <c:crosses val="autoZero"/>
        <c:auto val="1"/>
        <c:lblAlgn val="ctr"/>
        <c:lblOffset val="100"/>
        <c:noMultiLvlLbl val="0"/>
      </c:catAx>
      <c:valAx>
        <c:axId val="165379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653775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[Readmissions_Data-4.xlsx]Pivot-Table!PivotWithoutPDV</c:name>
    <c:fmtId val="4"/>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Percent of Readmissions Without Post Discharge Visit </a:t>
            </a:r>
          </a:p>
        </c:rich>
      </c:tx>
      <c:overlay val="0"/>
      <c:spPr>
        <a:noFill/>
        <a:ln w="25400">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277E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77E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77E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77E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77E40"/>
          </a:solidFill>
          <a:ln>
            <a:solidFill>
              <a:srgbClr val="1A5529"/>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'Pivot-Table'!$B$28</c:f>
              <c:strCache>
                <c:ptCount val="1"/>
                <c:pt idx="0">
                  <c:v>Total</c:v>
                </c:pt>
              </c:strCache>
            </c:strRef>
          </c:tx>
          <c:spPr>
            <a:solidFill>
              <a:srgbClr val="277E40"/>
            </a:solidFill>
            <a:ln>
              <a:solidFill>
                <a:srgbClr val="1A5529"/>
              </a:solidFill>
              <a:prstDash val="solid"/>
            </a:ln>
            <a:effectLst/>
          </c:spPr>
          <c:invertIfNegative val="0"/>
          <c:cat>
            <c:strRef>
              <c:f>'Pivot-Table'!$A$29:$A$34</c:f>
              <c:strCache>
                <c:ptCount val="5"/>
                <c:pt idx="0">
                  <c:v>PA </c:v>
                </c:pt>
                <c:pt idx="1">
                  <c:v>IL</c:v>
                </c:pt>
                <c:pt idx="2">
                  <c:v>TX </c:v>
                </c:pt>
                <c:pt idx="3">
                  <c:v>MI </c:v>
                </c:pt>
                <c:pt idx="4">
                  <c:v>IN </c:v>
                </c:pt>
              </c:strCache>
            </c:strRef>
          </c:cat>
          <c:val>
            <c:numRef>
              <c:f>'Pivot-Table'!$B$29:$B$34</c:f>
              <c:numCache>
                <c:formatCode>0%</c:formatCode>
                <c:ptCount val="5"/>
                <c:pt idx="0">
                  <c:v>0.7</c:v>
                </c:pt>
                <c:pt idx="1">
                  <c:v>0.36</c:v>
                </c:pt>
                <c:pt idx="2">
                  <c:v>0.27</c:v>
                </c:pt>
                <c:pt idx="3">
                  <c:v>0.2</c:v>
                </c:pt>
                <c:pt idx="4">
                  <c:v>0.14000000000000001</c:v>
                </c:pt>
              </c:numCache>
            </c:numRef>
          </c:val>
          <c:extLst>
            <c:ext xmlns:c16="http://schemas.microsoft.com/office/drawing/2014/chart" uri="{C3380CC4-5D6E-409C-BE32-E72D297353CC}">
              <c16:uniqueId val="{00000000-961F-4C26-B2FA-26EB56F7708C}"/>
            </c:ext>
          </c:extLst>
        </c:ser>
        <c:dLbls>
          <c:showLegendKey val="0"/>
          <c:showVal val="0"/>
          <c:showCatName val="0"/>
          <c:showSerName val="0"/>
          <c:showPercent val="0"/>
          <c:showBubbleSize val="0"/>
        </c:dLbls>
        <c:gapWidth val="219"/>
        <c:overlap val="-27"/>
        <c:axId val="719929351"/>
        <c:axId val="719931399"/>
      </c:barChart>
      <c:catAx>
        <c:axId val="719929351"/>
        <c:scaling>
          <c:orientation val="minMax"/>
        </c:scaling>
        <c:delete val="0"/>
        <c:axPos val="b"/>
        <c:numFmt formatCode="General" sourceLinked="1"/>
        <c:majorTickMark val="none"/>
        <c:minorTickMark val="none"/>
        <c:tickLblPos val="nextTo"/>
        <c:spPr>
          <a:noFill/>
          <a:ln w="9525" cap="flat" cmpd="sng" algn="ctr">
            <a:solidFill>
              <a:srgbClr val="277E40"/>
            </a:solidFill>
            <a:prstDash val="solid"/>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719931399"/>
        <c:crosses val="autoZero"/>
        <c:auto val="1"/>
        <c:lblAlgn val="ctr"/>
        <c:lblOffset val="100"/>
        <c:noMultiLvlLbl val="0"/>
      </c:catAx>
      <c:valAx>
        <c:axId val="719931399"/>
        <c:scaling>
          <c:orientation val="minMax"/>
        </c:scaling>
        <c:delete val="0"/>
        <c:axPos val="l"/>
        <c:numFmt formatCode="0%" sourceLinked="1"/>
        <c:majorTickMark val="none"/>
        <c:minorTickMark val="none"/>
        <c:tickLblPos val="nextTo"/>
        <c:spPr>
          <a:noFill/>
          <a:ln>
            <a:solidFill>
              <a:srgbClr val="1A5529"/>
            </a:solidFill>
            <a:prstDash val="soli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719929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[Readmissions_Data-4.xlsx]Pivot-Table!PivotReadmin</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Percent of Readmissions </a:t>
            </a:r>
          </a:p>
        </c:rich>
      </c:tx>
      <c:layout>
        <c:manualLayout>
          <c:xMode val="edge"/>
          <c:yMode val="edge"/>
          <c:x val="0.26835772684963899"/>
          <c:y val="3.004291845493562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C8233F7-A7FF-AC48-9F6D-E17EC99391D1}"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60ECE7-3908-C443-B01D-0A5CC81203A8}"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849B3F4-6B32-6D41-8426-504048C98E4A}"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A273F56-5607-B54C-B158-59D267842BE8}"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6.8662156667036345E-2"/>
          <c:y val="0.14923076923076922"/>
          <c:w val="0.89847399356770541"/>
          <c:h val="0.70215384615384613"/>
        </c:manualLayout>
      </c:layout>
      <c:barChart>
        <c:barDir val="col"/>
        <c:grouping val="clustered"/>
        <c:varyColors val="0"/>
        <c:ser>
          <c:idx val="0"/>
          <c:order val="0"/>
          <c:tx>
            <c:strRef>
              <c:f>'Pivot-Table'!$G$44</c:f>
              <c:strCache>
                <c:ptCount val="1"/>
                <c:pt idx="0">
                  <c:v>Total</c:v>
                </c:pt>
              </c:strCache>
            </c:strRef>
          </c:tx>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56B-4F42-96B8-1334C0CC445F}"/>
              </c:ext>
            </c:extLst>
          </c:dPt>
          <c:dPt>
            <c:idx val="2"/>
            <c:invertIfNegative val="0"/>
            <c:bubble3D val="0"/>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F56B-4F42-96B8-1334C0CC445F}"/>
              </c:ext>
            </c:extLst>
          </c:dPt>
          <c:dPt>
            <c:idx val="3"/>
            <c:invertIfNegative val="0"/>
            <c:bubble3D val="0"/>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56B-4F42-96B8-1334C0CC445F}"/>
              </c:ext>
            </c:extLst>
          </c:dPt>
          <c:dPt>
            <c:idx val="4"/>
            <c:invertIfNegative val="0"/>
            <c:bubble3D val="0"/>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F56B-4F42-96B8-1334C0CC445F}"/>
              </c:ext>
            </c:extLst>
          </c:dPt>
          <c:dLbls>
            <c:dLbl>
              <c:idx val="1"/>
              <c:tx>
                <c:rich>
                  <a:bodyPr/>
                  <a:lstStyle/>
                  <a:p>
                    <a:fld id="{0C8233F7-A7FF-AC48-9F6D-E17EC99391D1}" type="VALUE">
                      <a:rPr lang="en-US" b="1"/>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56B-4F42-96B8-1334C0CC445F}"/>
                </c:ext>
              </c:extLst>
            </c:dLbl>
            <c:dLbl>
              <c:idx val="2"/>
              <c:tx>
                <c:rich>
                  <a:bodyPr/>
                  <a:lstStyle/>
                  <a:p>
                    <a:fld id="{E160ECE7-3908-C443-B01D-0A5CC81203A8}" type="VALUE">
                      <a:rPr lang="en-US" b="1"/>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56B-4F42-96B8-1334C0CC445F}"/>
                </c:ext>
              </c:extLst>
            </c:dLbl>
            <c:dLbl>
              <c:idx val="3"/>
              <c:tx>
                <c:rich>
                  <a:bodyPr/>
                  <a:lstStyle/>
                  <a:p>
                    <a:fld id="{7849B3F4-6B32-6D41-8426-504048C98E4A}" type="VALUE">
                      <a:rPr lang="en-US" b="1"/>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56B-4F42-96B8-1334C0CC445F}"/>
                </c:ext>
              </c:extLst>
            </c:dLbl>
            <c:dLbl>
              <c:idx val="4"/>
              <c:tx>
                <c:rich>
                  <a:bodyPr/>
                  <a:lstStyle/>
                  <a:p>
                    <a:fld id="{FA273F56-5607-B54C-B158-59D267842BE8}" type="VALUE">
                      <a:rPr lang="en-US" b="1"/>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F56B-4F42-96B8-1334C0CC44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'Pivot-Table'!$F$45:$F$50</c:f>
              <c:strCache>
                <c:ptCount val="5"/>
                <c:pt idx="0">
                  <c:v>PA </c:v>
                </c:pt>
                <c:pt idx="1">
                  <c:v>TX </c:v>
                </c:pt>
                <c:pt idx="2">
                  <c:v>IN </c:v>
                </c:pt>
                <c:pt idx="3">
                  <c:v>MI </c:v>
                </c:pt>
                <c:pt idx="4">
                  <c:v>IL</c:v>
                </c:pt>
              </c:strCache>
            </c:strRef>
          </c:cat>
          <c:val>
            <c:numRef>
              <c:f>'Pivot-Table'!$G$45:$G$50</c:f>
              <c:numCache>
                <c:formatCode>0%</c:formatCode>
                <c:ptCount val="5"/>
                <c:pt idx="0">
                  <c:v>0.24</c:v>
                </c:pt>
                <c:pt idx="1">
                  <c:v>0.22</c:v>
                </c:pt>
                <c:pt idx="2">
                  <c:v>0.22</c:v>
                </c:pt>
                <c:pt idx="3">
                  <c:v>0.16</c:v>
                </c:pt>
                <c:pt idx="4">
                  <c:v>0.14000000000000001</c:v>
                </c:pt>
              </c:numCache>
            </c:numRef>
          </c:val>
          <c:extLst>
            <c:ext xmlns:c16="http://schemas.microsoft.com/office/drawing/2014/chart" uri="{C3380CC4-5D6E-409C-BE32-E72D297353CC}">
              <c16:uniqueId val="{00000000-D650-4E93-A15A-8EFBD2DB28A7}"/>
            </c:ext>
          </c:extLst>
        </c:ser>
        <c:dLbls>
          <c:dLblPos val="inEnd"/>
          <c:showLegendKey val="0"/>
          <c:showVal val="1"/>
          <c:showCatName val="0"/>
          <c:showSerName val="0"/>
          <c:showPercent val="0"/>
          <c:showBubbleSize val="0"/>
        </c:dLbls>
        <c:gapWidth val="100"/>
        <c:overlap val="-24"/>
        <c:axId val="56514055"/>
        <c:axId val="56545287"/>
      </c:barChart>
      <c:catAx>
        <c:axId val="565140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45287"/>
        <c:crosses val="autoZero"/>
        <c:auto val="1"/>
        <c:lblAlgn val="ctr"/>
        <c:lblOffset val="100"/>
        <c:noMultiLvlLbl val="0"/>
      </c:catAx>
      <c:valAx>
        <c:axId val="565452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140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[Readmissions_Data-4.xlsx]Pivot-Table!PivotDays</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Days Between Initial Discharge and PDV</a:t>
            </a:r>
          </a:p>
        </c:rich>
      </c:tx>
      <c:layout>
        <c:manualLayout>
          <c:xMode val="edge"/>
          <c:yMode val="edge"/>
          <c:x val="0.2016139650101777"/>
          <c:y val="8.771929824561403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5.6767574587780756E-2"/>
          <c:y val="0.11174698795180724"/>
          <c:w val="0.92498963945296309"/>
          <c:h val="0.82506024096385544"/>
        </c:manualLayout>
      </c:layout>
      <c:barChart>
        <c:barDir val="bar"/>
        <c:grouping val="clustered"/>
        <c:varyColors val="0"/>
        <c:ser>
          <c:idx val="0"/>
          <c:order val="0"/>
          <c:tx>
            <c:strRef>
              <c:f>'Pivot-Table'!$F$17</c:f>
              <c:strCache>
                <c:ptCount val="1"/>
                <c:pt idx="0">
                  <c:v>Total</c:v>
                </c:pt>
              </c:strCache>
            </c:strRef>
          </c:tx>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cat>
            <c:strRef>
              <c:f>'Pivot-Table'!$E$18:$E$23</c:f>
              <c:strCache>
                <c:ptCount val="5"/>
                <c:pt idx="0">
                  <c:v>TX </c:v>
                </c:pt>
                <c:pt idx="1">
                  <c:v>IN </c:v>
                </c:pt>
                <c:pt idx="2">
                  <c:v>PA </c:v>
                </c:pt>
                <c:pt idx="3">
                  <c:v>IL</c:v>
                </c:pt>
                <c:pt idx="4">
                  <c:v>MI </c:v>
                </c:pt>
              </c:strCache>
            </c:strRef>
          </c:cat>
          <c:val>
            <c:numRef>
              <c:f>'Pivot-Table'!$F$18:$F$23</c:f>
              <c:numCache>
                <c:formatCode>General</c:formatCode>
                <c:ptCount val="5"/>
                <c:pt idx="0">
                  <c:v>14</c:v>
                </c:pt>
                <c:pt idx="1">
                  <c:v>13</c:v>
                </c:pt>
                <c:pt idx="2">
                  <c:v>12</c:v>
                </c:pt>
                <c:pt idx="3">
                  <c:v>11</c:v>
                </c:pt>
                <c:pt idx="4">
                  <c:v>10</c:v>
                </c:pt>
              </c:numCache>
            </c:numRef>
          </c:val>
          <c:extLst>
            <c:ext xmlns:c16="http://schemas.microsoft.com/office/drawing/2014/chart" uri="{C3380CC4-5D6E-409C-BE32-E72D297353CC}">
              <c16:uniqueId val="{00000000-27D4-4904-A7D8-7C6B6CA64141}"/>
            </c:ext>
          </c:extLst>
        </c:ser>
        <c:dLbls>
          <c:showLegendKey val="0"/>
          <c:showVal val="0"/>
          <c:showCatName val="0"/>
          <c:showSerName val="0"/>
          <c:showPercent val="0"/>
          <c:showBubbleSize val="0"/>
        </c:dLbls>
        <c:gapWidth val="115"/>
        <c:overlap val="-20"/>
        <c:axId val="165377543"/>
        <c:axId val="165379591"/>
      </c:barChart>
      <c:catAx>
        <c:axId val="16537754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79591"/>
        <c:crosses val="autoZero"/>
        <c:auto val="1"/>
        <c:lblAlgn val="ctr"/>
        <c:lblOffset val="100"/>
        <c:noMultiLvlLbl val="0"/>
      </c:catAx>
      <c:valAx>
        <c:axId val="165379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775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Readmission</a:t>
            </a:r>
            <a:r>
              <a:rPr lang="en-US" baseline="0"/>
              <a:t> Rate With PDV and No PDV</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'Pivot-Table'!$F$83</c:f>
              <c:strCache>
                <c:ptCount val="1"/>
                <c:pt idx="0">
                  <c:v>Readmission Rate (With PDV)</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'Pivot-Table'!$E$84:$E$88</c:f>
              <c:strCache>
                <c:ptCount val="5"/>
                <c:pt idx="0">
                  <c:v>PA</c:v>
                </c:pt>
                <c:pt idx="1">
                  <c:v>IL</c:v>
                </c:pt>
                <c:pt idx="2">
                  <c:v>TX</c:v>
                </c:pt>
                <c:pt idx="3">
                  <c:v>MI</c:v>
                </c:pt>
                <c:pt idx="4">
                  <c:v>IN</c:v>
                </c:pt>
              </c:strCache>
            </c:strRef>
          </c:cat>
          <c:val>
            <c:numRef>
              <c:f>'Pivot-Table'!$F$84:$F$88</c:f>
              <c:numCache>
                <c:formatCode>0%</c:formatCode>
                <c:ptCount val="5"/>
                <c:pt idx="0">
                  <c:v>0.3</c:v>
                </c:pt>
                <c:pt idx="1">
                  <c:v>0.65</c:v>
                </c:pt>
                <c:pt idx="2">
                  <c:v>0.7</c:v>
                </c:pt>
                <c:pt idx="3">
                  <c:v>0.8</c:v>
                </c:pt>
                <c:pt idx="4">
                  <c:v>0.75</c:v>
                </c:pt>
              </c:numCache>
            </c:numRef>
          </c:val>
          <c:extLst>
            <c:ext xmlns:c16="http://schemas.microsoft.com/office/drawing/2014/chart" uri="{C3380CC4-5D6E-409C-BE32-E72D297353CC}">
              <c16:uniqueId val="{00000000-E19D-1240-821D-7544E3FC2069}"/>
            </c:ext>
          </c:extLst>
        </c:ser>
        <c:ser>
          <c:idx val="1"/>
          <c:order val="1"/>
          <c:tx>
            <c:strRef>
              <c:f>'Pivot-Table'!$G$83</c:f>
              <c:strCache>
                <c:ptCount val="1"/>
                <c:pt idx="0">
                  <c:v>Readmission Rate (No PDV)</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'Pivot-Table'!$E$84:$E$88</c:f>
              <c:strCache>
                <c:ptCount val="5"/>
                <c:pt idx="0">
                  <c:v>PA</c:v>
                </c:pt>
                <c:pt idx="1">
                  <c:v>IL</c:v>
                </c:pt>
                <c:pt idx="2">
                  <c:v>TX</c:v>
                </c:pt>
                <c:pt idx="3">
                  <c:v>MI</c:v>
                </c:pt>
                <c:pt idx="4">
                  <c:v>IN</c:v>
                </c:pt>
              </c:strCache>
            </c:strRef>
          </c:cat>
          <c:val>
            <c:numRef>
              <c:f>'Pivot-Table'!$G$84:$G$88</c:f>
              <c:numCache>
                <c:formatCode>0%</c:formatCode>
                <c:ptCount val="5"/>
                <c:pt idx="0">
                  <c:v>0.7</c:v>
                </c:pt>
                <c:pt idx="1">
                  <c:v>0.35</c:v>
                </c:pt>
                <c:pt idx="2">
                  <c:v>0.25</c:v>
                </c:pt>
                <c:pt idx="3">
                  <c:v>0.2</c:v>
                </c:pt>
                <c:pt idx="4">
                  <c:v>0.15</c:v>
                </c:pt>
              </c:numCache>
            </c:numRef>
          </c:val>
          <c:extLst>
            <c:ext xmlns:c16="http://schemas.microsoft.com/office/drawing/2014/chart" uri="{C3380CC4-5D6E-409C-BE32-E72D297353CC}">
              <c16:uniqueId val="{00000001-E19D-1240-821D-7544E3FC2069}"/>
            </c:ext>
          </c:extLst>
        </c:ser>
        <c:dLbls>
          <c:dLblPos val="inEnd"/>
          <c:showLegendKey val="0"/>
          <c:showVal val="1"/>
          <c:showCatName val="0"/>
          <c:showSerName val="0"/>
          <c:showPercent val="0"/>
          <c:showBubbleSize val="0"/>
        </c:dLbls>
        <c:gapWidth val="100"/>
        <c:overlap val="-24"/>
        <c:axId val="2079740936"/>
        <c:axId val="2079742984"/>
      </c:barChart>
      <c:catAx>
        <c:axId val="2079740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42984"/>
        <c:crosses val="autoZero"/>
        <c:auto val="1"/>
        <c:lblAlgn val="ctr"/>
        <c:lblOffset val="100"/>
        <c:noMultiLvlLbl val="0"/>
      </c:catAx>
      <c:valAx>
        <c:axId val="20797429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40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[Readmissions_Data-4.xlsx]Sheet2!PivotLineGraph</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37510936132984"/>
          <c:y val="0.12962962962962962"/>
          <c:w val="0.72154133858267722"/>
          <c:h val="0.75245370370370368"/>
        </c:manualLayout>
      </c:layout>
      <c:lineChart>
        <c:grouping val="standard"/>
        <c:varyColors val="0"/>
        <c:ser>
          <c:idx val="0"/>
          <c:order val="0"/>
          <c:tx>
            <c:strRef>
              <c:f>Sheet2!$B$3:$B$4</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Sheet2!$A$5:$A$11</c:f>
              <c:strCache>
                <c:ptCount val="6"/>
                <c:pt idx="0">
                  <c:v>Jan</c:v>
                </c:pt>
                <c:pt idx="1">
                  <c:v>Feb</c:v>
                </c:pt>
                <c:pt idx="2">
                  <c:v>Mar</c:v>
                </c:pt>
                <c:pt idx="3">
                  <c:v>Apr</c:v>
                </c:pt>
                <c:pt idx="4">
                  <c:v>May</c:v>
                </c:pt>
                <c:pt idx="5">
                  <c:v>Jun</c:v>
                </c:pt>
              </c:strCache>
            </c:strRef>
          </c:cat>
          <c:val>
            <c:numRef>
              <c:f>Sheet2!$B$5:$B$11</c:f>
              <c:numCache>
                <c:formatCode>General</c:formatCode>
                <c:ptCount val="6"/>
                <c:pt idx="0">
                  <c:v>2</c:v>
                </c:pt>
                <c:pt idx="1">
                  <c:v>1</c:v>
                </c:pt>
                <c:pt idx="2">
                  <c:v>2</c:v>
                </c:pt>
                <c:pt idx="3">
                  <c:v>3</c:v>
                </c:pt>
                <c:pt idx="4">
                  <c:v>1</c:v>
                </c:pt>
                <c:pt idx="5">
                  <c:v>1</c:v>
                </c:pt>
              </c:numCache>
            </c:numRef>
          </c:val>
          <c:smooth val="0"/>
          <c:extLst>
            <c:ext xmlns:c16="http://schemas.microsoft.com/office/drawing/2014/chart" uri="{C3380CC4-5D6E-409C-BE32-E72D297353CC}">
              <c16:uniqueId val="{00000000-4AC1-2D40-A497-AC890464F1DE}"/>
            </c:ext>
          </c:extLst>
        </c:ser>
        <c:dLbls>
          <c:dLblPos val="ctr"/>
          <c:showLegendKey val="0"/>
          <c:showVal val="1"/>
          <c:showCatName val="0"/>
          <c:showSerName val="0"/>
          <c:showPercent val="0"/>
          <c:showBubbleSize val="0"/>
        </c:dLbls>
        <c:marker val="1"/>
        <c:smooth val="0"/>
        <c:axId val="954574176"/>
        <c:axId val="1513352976"/>
      </c:lineChart>
      <c:catAx>
        <c:axId val="954574176"/>
        <c:scaling>
          <c:orientation val="minMax"/>
        </c:scaling>
        <c:delete val="0"/>
        <c:axPos val="b"/>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Readmissions Per Month By Region </a:t>
                </a:r>
              </a:p>
            </c:rich>
          </c:tx>
          <c:layout>
            <c:manualLayout>
              <c:xMode val="edge"/>
              <c:yMode val="edge"/>
              <c:x val="9.5367891513560815E-2"/>
              <c:y val="2.087962962962962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352976"/>
        <c:crosses val="autoZero"/>
        <c:auto val="1"/>
        <c:lblAlgn val="ctr"/>
        <c:lblOffset val="100"/>
        <c:noMultiLvlLbl val="0"/>
      </c:catAx>
      <c:valAx>
        <c:axId val="151335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57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0.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chart" Target="../charts/chart13.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2.xml"/><Relationship Id="rId5" Type="http://schemas.openxmlformats.org/officeDocument/2006/relationships/image" Target="../media/image3.emf"/><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742950</xdr:colOff>
      <xdr:row>16</xdr:row>
      <xdr:rowOff>158750</xdr:rowOff>
    </xdr:from>
    <xdr:to>
      <xdr:col>6</xdr:col>
      <xdr:colOff>615950</xdr:colOff>
      <xdr:row>33</xdr:row>
      <xdr:rowOff>95250</xdr:rowOff>
    </xdr:to>
    <xdr:graphicFrame macro="">
      <xdr:nvGraphicFramePr>
        <xdr:cNvPr id="5" name="Chart 4">
          <a:extLst>
            <a:ext uri="{FF2B5EF4-FFF2-40B4-BE49-F238E27FC236}">
              <a16:creationId xmlns:a16="http://schemas.microsoft.com/office/drawing/2014/main" id="{EBB71199-EE42-AC85-0FDF-00102B663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800100</xdr:colOff>
      <xdr:row>14</xdr:row>
      <xdr:rowOff>25401</xdr:rowOff>
    </xdr:from>
    <xdr:to>
      <xdr:col>10</xdr:col>
      <xdr:colOff>152400</xdr:colOff>
      <xdr:row>24</xdr:row>
      <xdr:rowOff>152401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E9C3A79B-B5F1-BF4A-29C7-CDA1B0C7E0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83400" y="2336801"/>
              <a:ext cx="1828800" cy="177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352425</xdr:colOff>
      <xdr:row>8</xdr:row>
      <xdr:rowOff>38100</xdr:rowOff>
    </xdr:from>
    <xdr:to>
      <xdr:col>3</xdr:col>
      <xdr:colOff>1558925</xdr:colOff>
      <xdr:row>18</xdr:row>
      <xdr:rowOff>47625</xdr:rowOff>
    </xdr:to>
    <mc:AlternateContent xmlns:mc="http://schemas.openxmlformats.org/markup-compatibility/2006" xmlns:a14="http://schemas.microsoft.com/office/drawing/2010/main">
      <mc:Choice Requires="a14">
        <xdr:graphicFrame macro="">
          <xdr:nvGraphicFramePr>
            <xdr:cNvPr id="3" name="Regions 1">
              <a:extLst>
                <a:ext uri="{FF2B5EF4-FFF2-40B4-BE49-F238E27FC236}">
                  <a16:creationId xmlns:a16="http://schemas.microsoft.com/office/drawing/2014/main" id="{0754716C-CF15-36C9-D011-FCAEC3FB2540}"/>
                </a:ext>
                <a:ext uri="{147F2762-F138-4A5C-976F-8EAC2B608ADB}">
                  <a16:predDERef xmlns:a16="http://schemas.microsoft.com/office/drawing/2014/main" pred="{EE911179-AA64-F948-8703-584BB8942F42}"/>
                </a:ext>
              </a:extLst>
            </xdr:cNvPr>
            <xdr:cNvGraphicFramePr/>
          </xdr:nvGraphicFramePr>
          <xdr:xfrm>
            <a:off x="0" y="0"/>
            <a:ext cx="0" cy="0"/>
          </xdr:xfrm>
          <a:graphic>
            <a:graphicData uri="http://schemas.microsoft.com/office/drawing/2010/slicer">
              <sle:slicer xmlns:sle="http://schemas.microsoft.com/office/drawing/2010/slicer" name="Regions 1"/>
            </a:graphicData>
          </a:graphic>
        </xdr:graphicFrame>
      </mc:Choice>
      <mc:Fallback xmlns="">
        <xdr:sp macro="" textlink="">
          <xdr:nvSpPr>
            <xdr:cNvPr id="0" name=""/>
            <xdr:cNvSpPr>
              <a:spLocks noTextEdit="1"/>
            </xdr:cNvSpPr>
          </xdr:nvSpPr>
          <xdr:spPr>
            <a:xfrm>
              <a:off x="2990850" y="2286000"/>
              <a:ext cx="1828800" cy="16287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fLocksWithSheet="0"/>
  </xdr:twoCellAnchor>
  <xdr:twoCellAnchor>
    <xdr:from>
      <xdr:col>6</xdr:col>
      <xdr:colOff>695325</xdr:colOff>
      <xdr:row>7</xdr:row>
      <xdr:rowOff>57150</xdr:rowOff>
    </xdr:from>
    <xdr:to>
      <xdr:col>13</xdr:col>
      <xdr:colOff>342900</xdr:colOff>
      <xdr:row>24</xdr:row>
      <xdr:rowOff>47625</xdr:rowOff>
    </xdr:to>
    <xdr:graphicFrame macro="">
      <xdr:nvGraphicFramePr>
        <xdr:cNvPr id="2" name="Chart 1">
          <a:extLst>
            <a:ext uri="{FF2B5EF4-FFF2-40B4-BE49-F238E27FC236}">
              <a16:creationId xmlns:a16="http://schemas.microsoft.com/office/drawing/2014/main" id="{15DAD056-A738-19B0-E5FB-797C1DD18828}"/>
            </a:ext>
            <a:ext uri="{147F2762-F138-4A5C-976F-8EAC2B608ADB}">
              <a16:predDERef xmlns:a16="http://schemas.microsoft.com/office/drawing/2014/main" pred="{0754716C-CF15-36C9-D011-FCAEC3FB2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177800</xdr:colOff>
      <xdr:row>43</xdr:row>
      <xdr:rowOff>12700</xdr:rowOff>
    </xdr:from>
    <xdr:to>
      <xdr:col>16</xdr:col>
      <xdr:colOff>469900</xdr:colOff>
      <xdr:row>61</xdr:row>
      <xdr:rowOff>9525</xdr:rowOff>
    </xdr:to>
    <xdr:graphicFrame macro="">
      <xdr:nvGraphicFramePr>
        <xdr:cNvPr id="5" name="Chart 4">
          <a:extLst>
            <a:ext uri="{FF2B5EF4-FFF2-40B4-BE49-F238E27FC236}">
              <a16:creationId xmlns:a16="http://schemas.microsoft.com/office/drawing/2014/main" id="{39A6A8BC-8572-8B10-BE63-6E3071CF0A15}"/>
            </a:ext>
            <a:ext uri="{147F2762-F138-4A5C-976F-8EAC2B608ADB}">
              <a16:predDERef xmlns:a16="http://schemas.microsoft.com/office/drawing/2014/main" pred="{040B1690-6C51-8294-8F67-E771E3B81C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209550</xdr:colOff>
      <xdr:row>74</xdr:row>
      <xdr:rowOff>0</xdr:rowOff>
    </xdr:from>
    <xdr:to>
      <xdr:col>18</xdr:col>
      <xdr:colOff>76200</xdr:colOff>
      <xdr:row>90</xdr:row>
      <xdr:rowOff>95250</xdr:rowOff>
    </xdr:to>
    <xdr:graphicFrame macro="">
      <xdr:nvGraphicFramePr>
        <xdr:cNvPr id="7" name="Chart 6">
          <a:extLst>
            <a:ext uri="{FF2B5EF4-FFF2-40B4-BE49-F238E27FC236}">
              <a16:creationId xmlns:a16="http://schemas.microsoft.com/office/drawing/2014/main" id="{9AC1210C-3B20-B21C-3724-FE7C3FC0D907}"/>
            </a:ext>
            <a:ext uri="{147F2762-F138-4A5C-976F-8EAC2B608ADB}">
              <a16:predDERef xmlns:a16="http://schemas.microsoft.com/office/drawing/2014/main" pred="{71C2058C-AE38-3648-9A82-220FE535B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76200</xdr:colOff>
      <xdr:row>98</xdr:row>
      <xdr:rowOff>19050</xdr:rowOff>
    </xdr:from>
    <xdr:to>
      <xdr:col>17</xdr:col>
      <xdr:colOff>38100</xdr:colOff>
      <xdr:row>114</xdr:row>
      <xdr:rowOff>120650</xdr:rowOff>
    </xdr:to>
    <xdr:graphicFrame macro="">
      <xdr:nvGraphicFramePr>
        <xdr:cNvPr id="8" name="Chart 7">
          <a:extLst>
            <a:ext uri="{FF2B5EF4-FFF2-40B4-BE49-F238E27FC236}">
              <a16:creationId xmlns:a16="http://schemas.microsoft.com/office/drawing/2014/main" id="{0701D171-C8C5-BD9A-AA7E-BAB6C4807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990600</xdr:colOff>
      <xdr:row>1</xdr:row>
      <xdr:rowOff>57150</xdr:rowOff>
    </xdr:from>
    <xdr:to>
      <xdr:col>11</xdr:col>
      <xdr:colOff>114300</xdr:colOff>
      <xdr:row>6</xdr:row>
      <xdr:rowOff>104775</xdr:rowOff>
    </xdr:to>
    <xdr:sp macro="" textlink="">
      <xdr:nvSpPr>
        <xdr:cNvPr id="22" name="Rectangle 21">
          <a:extLst>
            <a:ext uri="{FF2B5EF4-FFF2-40B4-BE49-F238E27FC236}">
              <a16:creationId xmlns:a16="http://schemas.microsoft.com/office/drawing/2014/main" id="{AEF9E9CD-CED7-6395-692C-B2CED01AEFDE}"/>
            </a:ext>
            <a:ext uri="{147F2762-F138-4A5C-976F-8EAC2B608ADB}">
              <a16:predDERef xmlns:a16="http://schemas.microsoft.com/office/drawing/2014/main" pred="{37ED8080-7A57-E08E-476B-9789A88830A9}"/>
            </a:ext>
          </a:extLst>
        </xdr:cNvPr>
        <xdr:cNvSpPr/>
      </xdr:nvSpPr>
      <xdr:spPr>
        <a:xfrm>
          <a:off x="2819400" y="219075"/>
          <a:ext cx="11449050" cy="85725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2400" b="1" i="1" u="none" strike="noStrike">
              <a:solidFill>
                <a:schemeClr val="lt1"/>
              </a:solidFill>
              <a:latin typeface="Arial" panose="020B0604020202020204" pitchFamily="34" charset="0"/>
              <a:cs typeface="Arial" panose="020B0604020202020204" pitchFamily="34" charset="0"/>
            </a:rPr>
            <a:t>    </a:t>
          </a:r>
        </a:p>
      </xdr:txBody>
    </xdr:sp>
    <xdr:clientData/>
  </xdr:twoCellAnchor>
  <xdr:twoCellAnchor editAs="oneCell">
    <xdr:from>
      <xdr:col>10</xdr:col>
      <xdr:colOff>1285875</xdr:colOff>
      <xdr:row>2</xdr:row>
      <xdr:rowOff>104775</xdr:rowOff>
    </xdr:from>
    <xdr:to>
      <xdr:col>10</xdr:col>
      <xdr:colOff>1762125</xdr:colOff>
      <xdr:row>5</xdr:row>
      <xdr:rowOff>95250</xdr:rowOff>
    </xdr:to>
    <xdr:pic>
      <xdr:nvPicPr>
        <xdr:cNvPr id="23" name="Picture 22">
          <a:extLst>
            <a:ext uri="{FF2B5EF4-FFF2-40B4-BE49-F238E27FC236}">
              <a16:creationId xmlns:a16="http://schemas.microsoft.com/office/drawing/2014/main" id="{C6132603-CD9A-7533-0397-DC6595150C88}"/>
            </a:ext>
            <a:ext uri="{147F2762-F138-4A5C-976F-8EAC2B608ADB}">
              <a16:predDERef xmlns:a16="http://schemas.microsoft.com/office/drawing/2014/main" pred="{AEF9E9CD-CED7-6395-692C-B2CED01AEFDE}"/>
            </a:ext>
          </a:extLst>
        </xdr:cNvPr>
        <xdr:cNvPicPr>
          <a:picLocks noChangeAspect="1"/>
        </xdr:cNvPicPr>
      </xdr:nvPicPr>
      <xdr:blipFill>
        <a:blip xmlns:r="http://schemas.openxmlformats.org/officeDocument/2006/relationships" r:embed="rId1"/>
        <a:stretch>
          <a:fillRect/>
        </a:stretch>
      </xdr:blipFill>
      <xdr:spPr>
        <a:xfrm>
          <a:off x="13592175" y="428625"/>
          <a:ext cx="476250" cy="476250"/>
        </a:xfrm>
        <a:prstGeom prst="rect">
          <a:avLst/>
        </a:prstGeom>
      </xdr:spPr>
    </xdr:pic>
    <xdr:clientData/>
  </xdr:twoCellAnchor>
  <xdr:twoCellAnchor>
    <xdr:from>
      <xdr:col>5</xdr:col>
      <xdr:colOff>1476375</xdr:colOff>
      <xdr:row>7</xdr:row>
      <xdr:rowOff>28575</xdr:rowOff>
    </xdr:from>
    <xdr:to>
      <xdr:col>7</xdr:col>
      <xdr:colOff>209550</xdr:colOff>
      <xdr:row>11</xdr:row>
      <xdr:rowOff>47625</xdr:rowOff>
    </xdr:to>
    <xdr:sp macro="" textlink="">
      <xdr:nvSpPr>
        <xdr:cNvPr id="15" name="Rounded Rectangle 14">
          <a:extLst>
            <a:ext uri="{FF2B5EF4-FFF2-40B4-BE49-F238E27FC236}">
              <a16:creationId xmlns:a16="http://schemas.microsoft.com/office/drawing/2014/main" id="{CA3E51E0-6428-43B9-ADE8-A7029F90247B}"/>
            </a:ext>
            <a:ext uri="{147F2762-F138-4A5C-976F-8EAC2B608ADB}">
              <a16:predDERef xmlns:a16="http://schemas.microsoft.com/office/drawing/2014/main" pred="{C6132603-CD9A-7533-0397-DC6595150C88}"/>
            </a:ext>
          </a:extLst>
        </xdr:cNvPr>
        <xdr:cNvSpPr/>
      </xdr:nvSpPr>
      <xdr:spPr>
        <a:xfrm>
          <a:off x="5438775" y="1162050"/>
          <a:ext cx="2076450" cy="666750"/>
        </a:xfrm>
        <a:prstGeom prst="roundRect">
          <a:avLst/>
        </a:prstGeom>
        <a:ln/>
      </xdr:spPr>
      <xdr:style>
        <a:lnRef idx="2">
          <a:schemeClr val="accent3">
            <a:shade val="15000"/>
          </a:schemeClr>
        </a:lnRef>
        <a:fillRef idx="1">
          <a:schemeClr val="accent3"/>
        </a:fillRef>
        <a:effectRef idx="0">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endParaRPr lang="en-US" sz="1200" b="1" i="0" u="none" strike="noStrike">
            <a:solidFill>
              <a:schemeClr val="bg1"/>
            </a:solidFill>
            <a:latin typeface="Arial" panose="020B0604020202020204" pitchFamily="34" charset="0"/>
            <a:cs typeface="Arial" panose="020B0604020202020204" pitchFamily="34" charset="0"/>
          </a:endParaRPr>
        </a:p>
        <a:p>
          <a:pPr marL="0" marR="0" indent="0" algn="ctr">
            <a:lnSpc>
              <a:spcPct val="100000"/>
            </a:lnSpc>
            <a:spcBef>
              <a:spcPts val="0"/>
            </a:spcBef>
            <a:spcAft>
              <a:spcPts val="0"/>
            </a:spcAft>
          </a:pPr>
          <a:endParaRPr lang="en-US" sz="1200" b="1" i="0" u="none" strike="noStrike">
            <a:solidFill>
              <a:schemeClr val="tx1"/>
            </a:solidFill>
            <a:latin typeface="Arial" panose="020B0604020202020204" pitchFamily="34" charset="0"/>
            <a:cs typeface="Arial" panose="020B0604020202020204" pitchFamily="34" charset="0"/>
          </a:endParaRPr>
        </a:p>
        <a:p>
          <a:pPr marL="0" marR="0" indent="0" algn="ctr">
            <a:lnSpc>
              <a:spcPct val="100000"/>
            </a:lnSpc>
            <a:spcBef>
              <a:spcPts val="0"/>
            </a:spcBef>
            <a:spcAft>
              <a:spcPts val="0"/>
            </a:spcAft>
          </a:pPr>
          <a:r>
            <a:rPr lang="en-US" sz="1200" b="1" i="0" u="none" strike="noStrike">
              <a:solidFill>
                <a:schemeClr val="tx1"/>
              </a:solidFill>
              <a:latin typeface="Arial" panose="020B0604020202020204" pitchFamily="34" charset="0"/>
              <a:cs typeface="Arial" panose="020B0604020202020204" pitchFamily="34" charset="0"/>
            </a:rPr>
            <a:t>85%</a:t>
          </a:r>
        </a:p>
      </xdr:txBody>
    </xdr:sp>
    <xdr:clientData/>
  </xdr:twoCellAnchor>
  <xdr:twoCellAnchor>
    <xdr:from>
      <xdr:col>6</xdr:col>
      <xdr:colOff>19050</xdr:colOff>
      <xdr:row>7</xdr:row>
      <xdr:rowOff>57150</xdr:rowOff>
    </xdr:from>
    <xdr:to>
      <xdr:col>7</xdr:col>
      <xdr:colOff>66675</xdr:colOff>
      <xdr:row>9</xdr:row>
      <xdr:rowOff>28575</xdr:rowOff>
    </xdr:to>
    <xdr:sp macro="" textlink="">
      <xdr:nvSpPr>
        <xdr:cNvPr id="24" name="TextBox 23">
          <a:extLst>
            <a:ext uri="{FF2B5EF4-FFF2-40B4-BE49-F238E27FC236}">
              <a16:creationId xmlns:a16="http://schemas.microsoft.com/office/drawing/2014/main" id="{1FD202C5-5D7A-4DCE-82A1-211882C50679}"/>
            </a:ext>
            <a:ext uri="{147F2762-F138-4A5C-976F-8EAC2B608ADB}">
              <a16:predDERef xmlns:a16="http://schemas.microsoft.com/office/drawing/2014/main" pred="{CA3E51E0-6428-43B9-ADE8-A7029F90247B}"/>
            </a:ext>
          </a:extLst>
        </xdr:cNvPr>
        <xdr:cNvSpPr txBox="1"/>
      </xdr:nvSpPr>
      <xdr:spPr>
        <a:xfrm>
          <a:off x="5610225" y="1190625"/>
          <a:ext cx="1762125" cy="295275"/>
        </a:xfrm>
        <a:prstGeom prst="rect">
          <a:avLst/>
        </a:prstGeom>
        <a:ln>
          <a:noFill/>
        </a:ln>
      </xdr:spPr>
      <xdr:style>
        <a:lnRef idx="2">
          <a:schemeClr val="accent3">
            <a:shade val="15000"/>
          </a:schemeClr>
        </a:lnRef>
        <a:fillRef idx="1">
          <a:schemeClr val="accent3"/>
        </a:fillRef>
        <a:effectRef idx="0">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900" b="1" i="0" u="none" strike="noStrike">
              <a:solidFill>
                <a:schemeClr val="tx1"/>
              </a:solidFill>
              <a:latin typeface="Arial" panose="020B0604020202020204" pitchFamily="34" charset="0"/>
              <a:cs typeface="Arial" panose="020B0604020202020204" pitchFamily="34" charset="0"/>
            </a:rPr>
            <a:t>Post Discharge Completion Rate</a:t>
          </a:r>
          <a:r>
            <a:rPr lang="en-US" sz="900" b="0" i="0" u="none" strike="noStrike">
              <a:solidFill>
                <a:schemeClr val="tx1"/>
              </a:solidFill>
              <a:latin typeface="Arial" panose="020B0604020202020204" pitchFamily="34" charset="0"/>
              <a:cs typeface="Arial" panose="020B0604020202020204" pitchFamily="34" charset="0"/>
            </a:rPr>
            <a:t> </a:t>
          </a:r>
        </a:p>
      </xdr:txBody>
    </xdr:sp>
    <xdr:clientData/>
  </xdr:twoCellAnchor>
  <xdr:twoCellAnchor>
    <xdr:from>
      <xdr:col>3</xdr:col>
      <xdr:colOff>1000125</xdr:colOff>
      <xdr:row>7</xdr:row>
      <xdr:rowOff>38100</xdr:rowOff>
    </xdr:from>
    <xdr:to>
      <xdr:col>5</xdr:col>
      <xdr:colOff>1076325</xdr:colOff>
      <xdr:row>11</xdr:row>
      <xdr:rowOff>57150</xdr:rowOff>
    </xdr:to>
    <xdr:sp macro="" textlink="">
      <xdr:nvSpPr>
        <xdr:cNvPr id="16" name="Rounded Rectangle 15">
          <a:extLst>
            <a:ext uri="{FF2B5EF4-FFF2-40B4-BE49-F238E27FC236}">
              <a16:creationId xmlns:a16="http://schemas.microsoft.com/office/drawing/2014/main" id="{E3D95F43-2CF1-4B73-8D07-45F2A7437D5D}"/>
            </a:ext>
            <a:ext uri="{147F2762-F138-4A5C-976F-8EAC2B608ADB}">
              <a16:predDERef xmlns:a16="http://schemas.microsoft.com/office/drawing/2014/main" pred="{1FD202C5-5D7A-4DCE-82A1-211882C50679}"/>
            </a:ext>
          </a:extLst>
        </xdr:cNvPr>
        <xdr:cNvSpPr/>
      </xdr:nvSpPr>
      <xdr:spPr>
        <a:xfrm>
          <a:off x="2828925" y="1171575"/>
          <a:ext cx="2209800" cy="666750"/>
        </a:xfrm>
        <a:prstGeom prst="roundRect">
          <a:avLst/>
        </a:prstGeom>
        <a:ln/>
      </xdr:spPr>
      <xdr:style>
        <a:lnRef idx="2">
          <a:schemeClr val="accent3">
            <a:shade val="15000"/>
          </a:schemeClr>
        </a:lnRef>
        <a:fillRef idx="1">
          <a:schemeClr val="accent3"/>
        </a:fillRef>
        <a:effectRef idx="0">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endParaRPr lang="en-US" sz="1200" b="1" i="0" u="none" strike="noStrike">
            <a:solidFill>
              <a:schemeClr val="bg1"/>
            </a:solidFill>
            <a:latin typeface="Arial" panose="020B0604020202020204" pitchFamily="34" charset="0"/>
            <a:cs typeface="Arial" panose="020B0604020202020204" pitchFamily="34" charset="0"/>
          </a:endParaRPr>
        </a:p>
        <a:p>
          <a:pPr marL="0" marR="0" indent="0" algn="ctr">
            <a:lnSpc>
              <a:spcPct val="100000"/>
            </a:lnSpc>
            <a:spcBef>
              <a:spcPts val="0"/>
            </a:spcBef>
            <a:spcAft>
              <a:spcPts val="0"/>
            </a:spcAft>
          </a:pPr>
          <a:endParaRPr lang="en-US" sz="1200" b="1" i="0" u="none" strike="noStrike">
            <a:solidFill>
              <a:schemeClr val="tx1"/>
            </a:solidFill>
            <a:latin typeface="Arial" panose="020B0604020202020204" pitchFamily="34" charset="0"/>
            <a:cs typeface="Arial" panose="020B0604020202020204" pitchFamily="34" charset="0"/>
          </a:endParaRPr>
        </a:p>
        <a:p>
          <a:pPr marL="0" marR="0" indent="0" algn="ctr">
            <a:lnSpc>
              <a:spcPct val="100000"/>
            </a:lnSpc>
            <a:spcBef>
              <a:spcPts val="0"/>
            </a:spcBef>
            <a:spcAft>
              <a:spcPts val="0"/>
            </a:spcAft>
          </a:pPr>
          <a:r>
            <a:rPr lang="en-US" sz="1200" b="1" i="0" u="none" strike="noStrike">
              <a:solidFill>
                <a:schemeClr val="tx1"/>
              </a:solidFill>
              <a:latin typeface="Arial" panose="020B0604020202020204" pitchFamily="34" charset="0"/>
              <a:cs typeface="Arial" panose="020B0604020202020204" pitchFamily="34" charset="0"/>
            </a:rPr>
            <a:t>20%</a:t>
          </a:r>
        </a:p>
      </xdr:txBody>
    </xdr:sp>
    <xdr:clientData/>
  </xdr:twoCellAnchor>
  <xdr:twoCellAnchor>
    <xdr:from>
      <xdr:col>7</xdr:col>
      <xdr:colOff>590550</xdr:colOff>
      <xdr:row>7</xdr:row>
      <xdr:rowOff>19050</xdr:rowOff>
    </xdr:from>
    <xdr:to>
      <xdr:col>8</xdr:col>
      <xdr:colOff>1114425</xdr:colOff>
      <xdr:row>11</xdr:row>
      <xdr:rowOff>38100</xdr:rowOff>
    </xdr:to>
    <xdr:sp macro="" textlink="">
      <xdr:nvSpPr>
        <xdr:cNvPr id="29" name="Rounded Rectangle 28">
          <a:extLst>
            <a:ext uri="{FF2B5EF4-FFF2-40B4-BE49-F238E27FC236}">
              <a16:creationId xmlns:a16="http://schemas.microsoft.com/office/drawing/2014/main" id="{836121F3-291C-470F-9D42-F2CB8A4C0DC2}"/>
            </a:ext>
            <a:ext uri="{147F2762-F138-4A5C-976F-8EAC2B608ADB}">
              <a16:predDERef xmlns:a16="http://schemas.microsoft.com/office/drawing/2014/main" pred="{E3D95F43-2CF1-4B73-8D07-45F2A7437D5D}"/>
            </a:ext>
          </a:extLst>
        </xdr:cNvPr>
        <xdr:cNvSpPr/>
      </xdr:nvSpPr>
      <xdr:spPr>
        <a:xfrm>
          <a:off x="7896225" y="1152525"/>
          <a:ext cx="2152650" cy="666750"/>
        </a:xfrm>
        <a:prstGeom prst="roundRect">
          <a:avLst/>
        </a:prstGeom>
        <a:ln/>
      </xdr:spPr>
      <xdr:style>
        <a:lnRef idx="2">
          <a:schemeClr val="accent3">
            <a:shade val="15000"/>
          </a:schemeClr>
        </a:lnRef>
        <a:fillRef idx="1">
          <a:schemeClr val="accent3"/>
        </a:fillRef>
        <a:effectRef idx="0">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endParaRPr lang="en-US" sz="1200" b="1" i="0" u="none" strike="noStrike">
            <a:solidFill>
              <a:schemeClr val="bg1"/>
            </a:solidFill>
            <a:latin typeface="Arial" panose="020B0604020202020204" pitchFamily="34" charset="0"/>
            <a:cs typeface="Arial" panose="020B0604020202020204" pitchFamily="34" charset="0"/>
          </a:endParaRPr>
        </a:p>
        <a:p>
          <a:pPr marL="0" marR="0" indent="0" algn="ctr">
            <a:lnSpc>
              <a:spcPct val="100000"/>
            </a:lnSpc>
            <a:spcBef>
              <a:spcPts val="0"/>
            </a:spcBef>
            <a:spcAft>
              <a:spcPts val="0"/>
            </a:spcAft>
          </a:pPr>
          <a:endParaRPr lang="en-US" sz="1200" b="1" i="0" u="none" strike="noStrike">
            <a:solidFill>
              <a:schemeClr val="tx1"/>
            </a:solidFill>
            <a:latin typeface="Arial" panose="020B0604020202020204" pitchFamily="34" charset="0"/>
            <a:cs typeface="Arial" panose="020B0604020202020204" pitchFamily="34" charset="0"/>
          </a:endParaRPr>
        </a:p>
        <a:p>
          <a:pPr marL="0" marR="0" indent="0" algn="ctr">
            <a:lnSpc>
              <a:spcPct val="100000"/>
            </a:lnSpc>
            <a:spcBef>
              <a:spcPts val="0"/>
            </a:spcBef>
            <a:spcAft>
              <a:spcPts val="0"/>
            </a:spcAft>
          </a:pPr>
          <a:r>
            <a:rPr lang="en-US" sz="1200" b="1" i="0" u="none" strike="noStrike">
              <a:solidFill>
                <a:schemeClr val="tx1"/>
              </a:solidFill>
              <a:latin typeface="Arial" panose="020B0604020202020204" pitchFamily="34" charset="0"/>
              <a:cs typeface="Arial" panose="020B0604020202020204" pitchFamily="34" charset="0"/>
            </a:rPr>
            <a:t>67%</a:t>
          </a:r>
        </a:p>
      </xdr:txBody>
    </xdr:sp>
    <xdr:clientData/>
  </xdr:twoCellAnchor>
  <xdr:twoCellAnchor>
    <xdr:from>
      <xdr:col>7</xdr:col>
      <xdr:colOff>695325</xdr:colOff>
      <xdr:row>7</xdr:row>
      <xdr:rowOff>57150</xdr:rowOff>
    </xdr:from>
    <xdr:to>
      <xdr:col>8</xdr:col>
      <xdr:colOff>904875</xdr:colOff>
      <xdr:row>9</xdr:row>
      <xdr:rowOff>28575</xdr:rowOff>
    </xdr:to>
    <xdr:sp macro="" textlink="">
      <xdr:nvSpPr>
        <xdr:cNvPr id="30" name="TextBox 29">
          <a:extLst>
            <a:ext uri="{FF2B5EF4-FFF2-40B4-BE49-F238E27FC236}">
              <a16:creationId xmlns:a16="http://schemas.microsoft.com/office/drawing/2014/main" id="{01C04E03-C68C-48A1-B9E1-C353A5861DC7}"/>
            </a:ext>
            <a:ext uri="{147F2762-F138-4A5C-976F-8EAC2B608ADB}">
              <a16:predDERef xmlns:a16="http://schemas.microsoft.com/office/drawing/2014/main" pred="{836121F3-291C-470F-9D42-F2CB8A4C0DC2}"/>
            </a:ext>
          </a:extLst>
        </xdr:cNvPr>
        <xdr:cNvSpPr txBox="1"/>
      </xdr:nvSpPr>
      <xdr:spPr>
        <a:xfrm>
          <a:off x="8001000" y="1190625"/>
          <a:ext cx="1838325" cy="295275"/>
        </a:xfrm>
        <a:prstGeom prst="rect">
          <a:avLst/>
        </a:prstGeom>
        <a:ln>
          <a:noFill/>
        </a:ln>
      </xdr:spPr>
      <xdr:style>
        <a:lnRef idx="2">
          <a:schemeClr val="accent3">
            <a:shade val="15000"/>
          </a:schemeClr>
        </a:lnRef>
        <a:fillRef idx="1">
          <a:schemeClr val="accent3"/>
        </a:fillRef>
        <a:effectRef idx="0">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900" b="1" i="0" u="none" strike="noStrike">
              <a:solidFill>
                <a:schemeClr val="tx1"/>
              </a:solidFill>
              <a:latin typeface="Arial" panose="020B0604020202020204" pitchFamily="34" charset="0"/>
              <a:cs typeface="Arial" panose="020B0604020202020204" pitchFamily="34" charset="0"/>
            </a:rPr>
            <a:t>Readmissions with Post Discharge</a:t>
          </a:r>
        </a:p>
      </xdr:txBody>
    </xdr:sp>
    <xdr:clientData/>
  </xdr:twoCellAnchor>
  <xdr:twoCellAnchor>
    <xdr:from>
      <xdr:col>4</xdr:col>
      <xdr:colOff>38100</xdr:colOff>
      <xdr:row>7</xdr:row>
      <xdr:rowOff>95250</xdr:rowOff>
    </xdr:from>
    <xdr:to>
      <xdr:col>5</xdr:col>
      <xdr:colOff>866775</xdr:colOff>
      <xdr:row>9</xdr:row>
      <xdr:rowOff>66675</xdr:rowOff>
    </xdr:to>
    <xdr:sp macro="" textlink="">
      <xdr:nvSpPr>
        <xdr:cNvPr id="32" name="TextBox 31">
          <a:extLst>
            <a:ext uri="{FF2B5EF4-FFF2-40B4-BE49-F238E27FC236}">
              <a16:creationId xmlns:a16="http://schemas.microsoft.com/office/drawing/2014/main" id="{419565EF-AFCC-4E4A-8F40-291DF194C720}"/>
            </a:ext>
            <a:ext uri="{147F2762-F138-4A5C-976F-8EAC2B608ADB}">
              <a16:predDERef xmlns:a16="http://schemas.microsoft.com/office/drawing/2014/main" pred="{01C04E03-C68C-48A1-B9E1-C353A5861DC7}"/>
            </a:ext>
          </a:extLst>
        </xdr:cNvPr>
        <xdr:cNvSpPr txBox="1"/>
      </xdr:nvSpPr>
      <xdr:spPr>
        <a:xfrm>
          <a:off x="3067050" y="1228725"/>
          <a:ext cx="1762125" cy="295275"/>
        </a:xfrm>
        <a:prstGeom prst="rect">
          <a:avLst/>
        </a:prstGeom>
        <a:ln>
          <a:noFill/>
        </a:ln>
      </xdr:spPr>
      <xdr:style>
        <a:lnRef idx="2">
          <a:schemeClr val="accent3">
            <a:shade val="15000"/>
          </a:schemeClr>
        </a:lnRef>
        <a:fillRef idx="1">
          <a:schemeClr val="accent3"/>
        </a:fillRef>
        <a:effectRef idx="0">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900" b="1" i="0" u="none" strike="noStrike">
              <a:solidFill>
                <a:schemeClr val="tx1"/>
              </a:solidFill>
              <a:latin typeface="Arial" panose="020B0604020202020204" pitchFamily="34" charset="0"/>
              <a:cs typeface="Arial" panose="020B0604020202020204" pitchFamily="34" charset="0"/>
            </a:rPr>
            <a:t>Overall Readmission </a:t>
          </a:r>
        </a:p>
        <a:p>
          <a:pPr marL="0" indent="0" algn="ctr"/>
          <a:r>
            <a:rPr lang="en-US" sz="900" b="1" i="0" u="none" strike="noStrike">
              <a:solidFill>
                <a:schemeClr val="tx1"/>
              </a:solidFill>
              <a:latin typeface="Arial" panose="020B0604020202020204" pitchFamily="34" charset="0"/>
              <a:cs typeface="Arial" panose="020B0604020202020204" pitchFamily="34" charset="0"/>
            </a:rPr>
            <a:t>Rate </a:t>
          </a:r>
        </a:p>
      </xdr:txBody>
    </xdr:sp>
    <xdr:clientData/>
  </xdr:twoCellAnchor>
  <xdr:twoCellAnchor>
    <xdr:from>
      <xdr:col>3</xdr:col>
      <xdr:colOff>1028700</xdr:colOff>
      <xdr:row>12</xdr:row>
      <xdr:rowOff>95250</xdr:rowOff>
    </xdr:from>
    <xdr:to>
      <xdr:col>5</xdr:col>
      <xdr:colOff>1066800</xdr:colOff>
      <xdr:row>16</xdr:row>
      <xdr:rowOff>114300</xdr:rowOff>
    </xdr:to>
    <xdr:sp macro="" textlink="">
      <xdr:nvSpPr>
        <xdr:cNvPr id="35" name="Rounded Rectangle 34">
          <a:extLst>
            <a:ext uri="{FF2B5EF4-FFF2-40B4-BE49-F238E27FC236}">
              <a16:creationId xmlns:a16="http://schemas.microsoft.com/office/drawing/2014/main" id="{11B6CA1D-FDDA-49AB-A37D-528DAEFD2602}"/>
            </a:ext>
            <a:ext uri="{147F2762-F138-4A5C-976F-8EAC2B608ADB}">
              <a16:predDERef xmlns:a16="http://schemas.microsoft.com/office/drawing/2014/main" pred="{419565EF-AFCC-4E4A-8F40-291DF194C720}"/>
            </a:ext>
          </a:extLst>
        </xdr:cNvPr>
        <xdr:cNvSpPr/>
      </xdr:nvSpPr>
      <xdr:spPr>
        <a:xfrm>
          <a:off x="2857500" y="2038350"/>
          <a:ext cx="2171700" cy="666750"/>
        </a:xfrm>
        <a:prstGeom prst="roundRect">
          <a:avLst/>
        </a:prstGeom>
        <a:solidFill>
          <a:schemeClr val="accent3"/>
        </a:solidFill>
        <a:ln/>
      </xdr:spPr>
      <xdr:style>
        <a:lnRef idx="1">
          <a:schemeClr val="accent4"/>
        </a:lnRef>
        <a:fillRef idx="3">
          <a:schemeClr val="accent4"/>
        </a:fillRef>
        <a:effectRef idx="2">
          <a:schemeClr val="accent4"/>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endParaRPr lang="en-US" sz="1200" b="1" i="0" u="none" strike="noStrike">
            <a:solidFill>
              <a:schemeClr val="bg1"/>
            </a:solidFill>
            <a:latin typeface="Arial" panose="020B0604020202020204" pitchFamily="34" charset="0"/>
            <a:cs typeface="Arial" panose="020B0604020202020204" pitchFamily="34" charset="0"/>
          </a:endParaRPr>
        </a:p>
        <a:p>
          <a:pPr marL="0" marR="0" indent="0" algn="ctr">
            <a:lnSpc>
              <a:spcPct val="100000"/>
            </a:lnSpc>
            <a:spcBef>
              <a:spcPts val="0"/>
            </a:spcBef>
            <a:spcAft>
              <a:spcPts val="0"/>
            </a:spcAft>
          </a:pPr>
          <a:endParaRPr lang="en-US" sz="1200" b="1" i="0" u="none" strike="noStrike">
            <a:solidFill>
              <a:srgbClr val="000000"/>
            </a:solidFill>
            <a:latin typeface="Arial" panose="020B0604020202020204" pitchFamily="34" charset="0"/>
            <a:cs typeface="Arial" panose="020B0604020202020204" pitchFamily="34" charset="0"/>
          </a:endParaRPr>
        </a:p>
        <a:p>
          <a:pPr marL="0" marR="0" indent="0" algn="ctr">
            <a:lnSpc>
              <a:spcPct val="100000"/>
            </a:lnSpc>
            <a:spcBef>
              <a:spcPts val="0"/>
            </a:spcBef>
            <a:spcAft>
              <a:spcPts val="0"/>
            </a:spcAft>
          </a:pPr>
          <a:r>
            <a:rPr lang="en-US" sz="1200" b="1" i="0" u="none" strike="noStrike">
              <a:solidFill>
                <a:srgbClr val="000000"/>
              </a:solidFill>
              <a:latin typeface="Arial" panose="020B0604020202020204" pitchFamily="34" charset="0"/>
              <a:cs typeface="Arial" panose="020B0604020202020204" pitchFamily="34" charset="0"/>
            </a:rPr>
            <a:t>33%</a:t>
          </a:r>
        </a:p>
      </xdr:txBody>
    </xdr:sp>
    <xdr:clientData/>
  </xdr:twoCellAnchor>
  <xdr:twoCellAnchor>
    <xdr:from>
      <xdr:col>4</xdr:col>
      <xdr:colOff>38100</xdr:colOff>
      <xdr:row>12</xdr:row>
      <xdr:rowOff>123825</xdr:rowOff>
    </xdr:from>
    <xdr:to>
      <xdr:col>5</xdr:col>
      <xdr:colOff>885825</xdr:colOff>
      <xdr:row>14</xdr:row>
      <xdr:rowOff>114300</xdr:rowOff>
    </xdr:to>
    <xdr:sp macro="" textlink="">
      <xdr:nvSpPr>
        <xdr:cNvPr id="27" name="TextBox 26">
          <a:extLst>
            <a:ext uri="{FF2B5EF4-FFF2-40B4-BE49-F238E27FC236}">
              <a16:creationId xmlns:a16="http://schemas.microsoft.com/office/drawing/2014/main" id="{02A6E1EB-658B-4315-9980-16B0F812D524}"/>
            </a:ext>
            <a:ext uri="{147F2762-F138-4A5C-976F-8EAC2B608ADB}">
              <a16:predDERef xmlns:a16="http://schemas.microsoft.com/office/drawing/2014/main" pred="{11B6CA1D-FDDA-49AB-A37D-528DAEFD2602}"/>
            </a:ext>
          </a:extLst>
        </xdr:cNvPr>
        <xdr:cNvSpPr txBox="1"/>
      </xdr:nvSpPr>
      <xdr:spPr>
        <a:xfrm>
          <a:off x="3067050" y="2066925"/>
          <a:ext cx="1781175" cy="314325"/>
        </a:xfrm>
        <a:prstGeom prst="rect">
          <a:avLst/>
        </a:prstGeom>
        <a:solidFill>
          <a:schemeClr val="accent3"/>
        </a:solidFill>
        <a:ln>
          <a:noFill/>
        </a:ln>
      </xdr:spPr>
      <xdr:style>
        <a:lnRef idx="2">
          <a:schemeClr val="accent4">
            <a:shade val="15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900" b="1" i="0" u="none" strike="noStrike">
              <a:solidFill>
                <a:srgbClr val="000000"/>
              </a:solidFill>
              <a:latin typeface="Arial" panose="020B0604020202020204" pitchFamily="34" charset="0"/>
              <a:cs typeface="Arial" panose="020B0604020202020204" pitchFamily="34" charset="0"/>
            </a:rPr>
            <a:t>Readmissions without Post-Discharge </a:t>
          </a:r>
        </a:p>
      </xdr:txBody>
    </xdr:sp>
    <xdr:clientData/>
  </xdr:twoCellAnchor>
  <xdr:twoCellAnchor>
    <xdr:from>
      <xdr:col>5</xdr:col>
      <xdr:colOff>1495425</xdr:colOff>
      <xdr:row>12</xdr:row>
      <xdr:rowOff>142875</xdr:rowOff>
    </xdr:from>
    <xdr:to>
      <xdr:col>7</xdr:col>
      <xdr:colOff>228600</xdr:colOff>
      <xdr:row>17</xdr:row>
      <xdr:rowOff>0</xdr:rowOff>
    </xdr:to>
    <xdr:sp macro="" textlink="">
      <xdr:nvSpPr>
        <xdr:cNvPr id="36" name="Rounded Rectangle 35">
          <a:extLst>
            <a:ext uri="{FF2B5EF4-FFF2-40B4-BE49-F238E27FC236}">
              <a16:creationId xmlns:a16="http://schemas.microsoft.com/office/drawing/2014/main" id="{05FA6276-DDEF-4626-96F7-D7C47D779F06}"/>
            </a:ext>
            <a:ext uri="{147F2762-F138-4A5C-976F-8EAC2B608ADB}">
              <a16:predDERef xmlns:a16="http://schemas.microsoft.com/office/drawing/2014/main" pred="{02A6E1EB-658B-4315-9980-16B0F812D524}"/>
            </a:ext>
          </a:extLst>
        </xdr:cNvPr>
        <xdr:cNvSpPr/>
      </xdr:nvSpPr>
      <xdr:spPr>
        <a:xfrm>
          <a:off x="5457825" y="2085975"/>
          <a:ext cx="2076450" cy="666750"/>
        </a:xfrm>
        <a:prstGeom prst="roundRect">
          <a:avLst/>
        </a:prstGeom>
        <a:ln/>
      </xdr:spPr>
      <xdr:style>
        <a:lnRef idx="2">
          <a:schemeClr val="accent3">
            <a:shade val="15000"/>
          </a:schemeClr>
        </a:lnRef>
        <a:fillRef idx="1">
          <a:schemeClr val="accent3"/>
        </a:fillRef>
        <a:effectRef idx="0">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endParaRPr lang="en-US" sz="1200" b="1" i="0" u="none" strike="noStrike">
            <a:solidFill>
              <a:schemeClr val="bg1"/>
            </a:solidFill>
            <a:latin typeface="Arial" panose="020B0604020202020204" pitchFamily="34" charset="0"/>
            <a:cs typeface="Arial" panose="020B0604020202020204" pitchFamily="34" charset="0"/>
          </a:endParaRPr>
        </a:p>
        <a:p>
          <a:pPr marL="0" marR="0" indent="0" algn="ctr">
            <a:lnSpc>
              <a:spcPct val="100000"/>
            </a:lnSpc>
            <a:spcBef>
              <a:spcPts val="0"/>
            </a:spcBef>
            <a:spcAft>
              <a:spcPts val="0"/>
            </a:spcAft>
          </a:pPr>
          <a:endParaRPr lang="en-US" sz="1200" b="1" i="0" u="none" strike="noStrike">
            <a:solidFill>
              <a:srgbClr val="000000"/>
            </a:solidFill>
            <a:latin typeface="Arial" panose="020B0604020202020204" pitchFamily="34" charset="0"/>
            <a:cs typeface="Arial" panose="020B0604020202020204" pitchFamily="34" charset="0"/>
          </a:endParaRPr>
        </a:p>
        <a:p>
          <a:pPr marL="0" marR="0" indent="0" algn="ctr">
            <a:lnSpc>
              <a:spcPct val="100000"/>
            </a:lnSpc>
            <a:spcBef>
              <a:spcPts val="0"/>
            </a:spcBef>
            <a:spcAft>
              <a:spcPts val="0"/>
            </a:spcAft>
          </a:pPr>
          <a:r>
            <a:rPr lang="en-US" sz="1200" b="1" i="0" u="none" strike="noStrike">
              <a:solidFill>
                <a:srgbClr val="000000"/>
              </a:solidFill>
              <a:latin typeface="Arial" panose="020B0604020202020204" pitchFamily="34" charset="0"/>
              <a:cs typeface="Arial" panose="020B0604020202020204" pitchFamily="34" charset="0"/>
            </a:rPr>
            <a:t>12%</a:t>
          </a:r>
        </a:p>
      </xdr:txBody>
    </xdr:sp>
    <xdr:clientData/>
  </xdr:twoCellAnchor>
  <xdr:twoCellAnchor>
    <xdr:from>
      <xdr:col>6</xdr:col>
      <xdr:colOff>142875</xdr:colOff>
      <xdr:row>12</xdr:row>
      <xdr:rowOff>152400</xdr:rowOff>
    </xdr:from>
    <xdr:to>
      <xdr:col>6</xdr:col>
      <xdr:colOff>1609725</xdr:colOff>
      <xdr:row>14</xdr:row>
      <xdr:rowOff>104775</xdr:rowOff>
    </xdr:to>
    <xdr:sp macro="" textlink="">
      <xdr:nvSpPr>
        <xdr:cNvPr id="28" name="TextBox 27">
          <a:extLst>
            <a:ext uri="{FF2B5EF4-FFF2-40B4-BE49-F238E27FC236}">
              <a16:creationId xmlns:a16="http://schemas.microsoft.com/office/drawing/2014/main" id="{7784BF77-25DC-4131-912A-B85B9D6F85CB}"/>
            </a:ext>
            <a:ext uri="{147F2762-F138-4A5C-976F-8EAC2B608ADB}">
              <a16:predDERef xmlns:a16="http://schemas.microsoft.com/office/drawing/2014/main" pred="{05FA6276-DDEF-4626-96F7-D7C47D779F06}"/>
            </a:ext>
          </a:extLst>
        </xdr:cNvPr>
        <xdr:cNvSpPr txBox="1"/>
      </xdr:nvSpPr>
      <xdr:spPr>
        <a:xfrm>
          <a:off x="5734050" y="2095500"/>
          <a:ext cx="1466850" cy="276225"/>
        </a:xfrm>
        <a:prstGeom prst="rect">
          <a:avLst/>
        </a:prstGeom>
        <a:ln>
          <a:noFill/>
        </a:ln>
      </xdr:spPr>
      <xdr:style>
        <a:lnRef idx="2">
          <a:schemeClr val="accent3">
            <a:shade val="15000"/>
          </a:schemeClr>
        </a:lnRef>
        <a:fillRef idx="1">
          <a:schemeClr val="accent3"/>
        </a:fillRef>
        <a:effectRef idx="0">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900" b="1" i="0" u="none" strike="noStrike">
              <a:solidFill>
                <a:srgbClr val="000000"/>
              </a:solidFill>
              <a:latin typeface="Arial" panose="020B0604020202020204" pitchFamily="34" charset="0"/>
              <a:cs typeface="Arial" panose="020B0604020202020204" pitchFamily="34" charset="0"/>
            </a:rPr>
            <a:t>  Days Between Discharge </a:t>
          </a:r>
        </a:p>
      </xdr:txBody>
    </xdr:sp>
    <xdr:clientData/>
  </xdr:twoCellAnchor>
  <xdr:twoCellAnchor>
    <xdr:from>
      <xdr:col>7</xdr:col>
      <xdr:colOff>504825</xdr:colOff>
      <xdr:row>12</xdr:row>
      <xdr:rowOff>114300</xdr:rowOff>
    </xdr:from>
    <xdr:to>
      <xdr:col>8</xdr:col>
      <xdr:colOff>1028700</xdr:colOff>
      <xdr:row>16</xdr:row>
      <xdr:rowOff>133350</xdr:rowOff>
    </xdr:to>
    <xdr:sp macro="" textlink="">
      <xdr:nvSpPr>
        <xdr:cNvPr id="8" name="Rounded Rectangle 36">
          <a:extLst>
            <a:ext uri="{FF2B5EF4-FFF2-40B4-BE49-F238E27FC236}">
              <a16:creationId xmlns:a16="http://schemas.microsoft.com/office/drawing/2014/main" id="{65CC79EF-BB26-41F6-B57F-67B65A850890}"/>
            </a:ext>
            <a:ext uri="{147F2762-F138-4A5C-976F-8EAC2B608ADB}">
              <a16:predDERef xmlns:a16="http://schemas.microsoft.com/office/drawing/2014/main" pred="{7784BF77-25DC-4131-912A-B85B9D6F85CB}"/>
            </a:ext>
          </a:extLst>
        </xdr:cNvPr>
        <xdr:cNvSpPr/>
      </xdr:nvSpPr>
      <xdr:spPr>
        <a:xfrm>
          <a:off x="7810500" y="2057400"/>
          <a:ext cx="2152650" cy="666750"/>
        </a:xfrm>
        <a:prstGeom prst="roundRect">
          <a:avLst/>
        </a:prstGeom>
        <a:ln/>
      </xdr:spPr>
      <xdr:style>
        <a:lnRef idx="2">
          <a:schemeClr val="accent3">
            <a:shade val="15000"/>
          </a:schemeClr>
        </a:lnRef>
        <a:fillRef idx="1">
          <a:schemeClr val="accent3"/>
        </a:fillRef>
        <a:effectRef idx="0">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endParaRPr lang="en-US" sz="1200" b="1" i="0" u="none" strike="noStrike">
            <a:solidFill>
              <a:schemeClr val="bg1"/>
            </a:solidFill>
            <a:latin typeface="Arial" panose="020B0604020202020204" pitchFamily="34" charset="0"/>
            <a:cs typeface="Arial" panose="020B0604020202020204" pitchFamily="34" charset="0"/>
          </a:endParaRPr>
        </a:p>
        <a:p>
          <a:pPr marL="0" marR="0" indent="0" algn="ctr">
            <a:lnSpc>
              <a:spcPct val="100000"/>
            </a:lnSpc>
            <a:spcBef>
              <a:spcPts val="0"/>
            </a:spcBef>
            <a:spcAft>
              <a:spcPts val="0"/>
            </a:spcAft>
          </a:pPr>
          <a:endParaRPr lang="en-US" sz="1200" b="1" i="0" u="none" strike="noStrike">
            <a:solidFill>
              <a:schemeClr val="tx1"/>
            </a:solidFill>
            <a:latin typeface="Arial" panose="020B0604020202020204" pitchFamily="34" charset="0"/>
            <a:cs typeface="Arial" panose="020B0604020202020204" pitchFamily="34" charset="0"/>
          </a:endParaRPr>
        </a:p>
        <a:p>
          <a:pPr marL="0" marR="0" indent="0" algn="ctr">
            <a:lnSpc>
              <a:spcPct val="100000"/>
            </a:lnSpc>
            <a:spcBef>
              <a:spcPts val="0"/>
            </a:spcBef>
            <a:spcAft>
              <a:spcPts val="0"/>
            </a:spcAft>
          </a:pPr>
          <a:r>
            <a:rPr lang="en-US" sz="1200" b="1" i="0" u="none" strike="noStrike">
              <a:solidFill>
                <a:schemeClr val="tx1"/>
              </a:solidFill>
              <a:latin typeface="Arial" panose="020B0604020202020204" pitchFamily="34" charset="0"/>
              <a:cs typeface="Arial" panose="020B0604020202020204" pitchFamily="34" charset="0"/>
            </a:rPr>
            <a:t>IL-14%</a:t>
          </a:r>
        </a:p>
      </xdr:txBody>
    </xdr:sp>
    <xdr:clientData/>
  </xdr:twoCellAnchor>
  <xdr:twoCellAnchor>
    <xdr:from>
      <xdr:col>7</xdr:col>
      <xdr:colOff>828675</xdr:colOff>
      <xdr:row>12</xdr:row>
      <xdr:rowOff>133350</xdr:rowOff>
    </xdr:from>
    <xdr:to>
      <xdr:col>8</xdr:col>
      <xdr:colOff>666750</xdr:colOff>
      <xdr:row>14</xdr:row>
      <xdr:rowOff>85725</xdr:rowOff>
    </xdr:to>
    <xdr:sp macro="" textlink="">
      <xdr:nvSpPr>
        <xdr:cNvPr id="5" name="TextBox 37">
          <a:extLst>
            <a:ext uri="{FF2B5EF4-FFF2-40B4-BE49-F238E27FC236}">
              <a16:creationId xmlns:a16="http://schemas.microsoft.com/office/drawing/2014/main" id="{40F826E6-A8D7-4166-8111-B88B1E1283E5}"/>
            </a:ext>
            <a:ext uri="{147F2762-F138-4A5C-976F-8EAC2B608ADB}">
              <a16:predDERef xmlns:a16="http://schemas.microsoft.com/office/drawing/2014/main" pred="{65CC79EF-BB26-41F6-B57F-67B65A850890}"/>
            </a:ext>
          </a:extLst>
        </xdr:cNvPr>
        <xdr:cNvSpPr txBox="1"/>
      </xdr:nvSpPr>
      <xdr:spPr>
        <a:xfrm>
          <a:off x="8134350" y="2076450"/>
          <a:ext cx="1466850" cy="276225"/>
        </a:xfrm>
        <a:prstGeom prst="rect">
          <a:avLst/>
        </a:prstGeom>
        <a:ln>
          <a:noFill/>
        </a:ln>
      </xdr:spPr>
      <xdr:style>
        <a:lnRef idx="2">
          <a:schemeClr val="accent3">
            <a:shade val="15000"/>
          </a:schemeClr>
        </a:lnRef>
        <a:fillRef idx="1">
          <a:schemeClr val="accent3"/>
        </a:fillRef>
        <a:effectRef idx="0">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900" b="1" i="0" u="none" strike="noStrike">
              <a:solidFill>
                <a:schemeClr val="tx1"/>
              </a:solidFill>
              <a:latin typeface="Arial" panose="020B0604020202020204" pitchFamily="34" charset="0"/>
              <a:cs typeface="Arial" panose="020B0604020202020204" pitchFamily="34" charset="0"/>
            </a:rPr>
            <a:t>  State  With Lowest Readmission Rate </a:t>
          </a:r>
        </a:p>
      </xdr:txBody>
    </xdr:sp>
    <xdr:clientData/>
  </xdr:twoCellAnchor>
  <xdr:twoCellAnchor>
    <xdr:from>
      <xdr:col>3</xdr:col>
      <xdr:colOff>1019175</xdr:colOff>
      <xdr:row>1</xdr:row>
      <xdr:rowOff>66675</xdr:rowOff>
    </xdr:from>
    <xdr:to>
      <xdr:col>6</xdr:col>
      <xdr:colOff>762000</xdr:colOff>
      <xdr:row>3</xdr:row>
      <xdr:rowOff>38100</xdr:rowOff>
    </xdr:to>
    <xdr:sp macro="" textlink="">
      <xdr:nvSpPr>
        <xdr:cNvPr id="41" name="TextBox 40">
          <a:extLst>
            <a:ext uri="{FF2B5EF4-FFF2-40B4-BE49-F238E27FC236}">
              <a16:creationId xmlns:a16="http://schemas.microsoft.com/office/drawing/2014/main" id="{D66B651E-461B-4F46-ABDD-7598F378A4B0}"/>
            </a:ext>
            <a:ext uri="{147F2762-F138-4A5C-976F-8EAC2B608ADB}">
              <a16:predDERef xmlns:a16="http://schemas.microsoft.com/office/drawing/2014/main" pred="{40F826E6-A8D7-4166-8111-B88B1E1283E5}"/>
            </a:ext>
          </a:extLst>
        </xdr:cNvPr>
        <xdr:cNvSpPr txBox="1"/>
      </xdr:nvSpPr>
      <xdr:spPr>
        <a:xfrm>
          <a:off x="2847975" y="228600"/>
          <a:ext cx="3505200" cy="295275"/>
        </a:xfrm>
        <a:prstGeom prst="rect">
          <a:avLst/>
        </a:prstGeom>
        <a:ln>
          <a:noFill/>
        </a:ln>
      </xdr:spPr>
      <xdr:style>
        <a:lnRef idx="2">
          <a:schemeClr val="accent3">
            <a:shade val="15000"/>
          </a:schemeClr>
        </a:lnRef>
        <a:fillRef idx="1">
          <a:schemeClr val="accent3"/>
        </a:fillRef>
        <a:effectRef idx="0">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200" b="1" i="0" u="none" strike="noStrike">
              <a:solidFill>
                <a:schemeClr val="tx1"/>
              </a:solidFill>
              <a:latin typeface="Arial" panose="020B0604020202020204" pitchFamily="34" charset="0"/>
              <a:cs typeface="Arial" panose="020B0604020202020204" pitchFamily="34" charset="0"/>
            </a:rPr>
            <a:t>Hospital Readmissions</a:t>
          </a:r>
          <a:r>
            <a:rPr lang="en-US" sz="1200" b="1" i="0" u="none" strike="noStrike">
              <a:solidFill>
                <a:schemeClr val="lt1"/>
              </a:solidFill>
              <a:latin typeface="Arial" panose="020B0604020202020204" pitchFamily="34" charset="0"/>
              <a:cs typeface="Arial" panose="020B0604020202020204" pitchFamily="34" charset="0"/>
            </a:rPr>
            <a:t>  </a:t>
          </a:r>
        </a:p>
      </xdr:txBody>
    </xdr:sp>
    <xdr:clientData/>
  </xdr:twoCellAnchor>
  <xdr:twoCellAnchor>
    <xdr:from>
      <xdr:col>6</xdr:col>
      <xdr:colOff>857250</xdr:colOff>
      <xdr:row>18</xdr:row>
      <xdr:rowOff>19050</xdr:rowOff>
    </xdr:from>
    <xdr:to>
      <xdr:col>8</xdr:col>
      <xdr:colOff>1085850</xdr:colOff>
      <xdr:row>33</xdr:row>
      <xdr:rowOff>114300</xdr:rowOff>
    </xdr:to>
    <xdr:graphicFrame macro="">
      <xdr:nvGraphicFramePr>
        <xdr:cNvPr id="2" name="Chart 1">
          <a:extLst>
            <a:ext uri="{FF2B5EF4-FFF2-40B4-BE49-F238E27FC236}">
              <a16:creationId xmlns:a16="http://schemas.microsoft.com/office/drawing/2014/main" id="{FD0BF0B5-FC79-454B-8EDA-D3D346FBD086}"/>
            </a:ext>
            <a:ext uri="{147F2762-F138-4A5C-976F-8EAC2B608ADB}">
              <a16:predDERef xmlns:a16="http://schemas.microsoft.com/office/drawing/2014/main" pred="{D66B651E-461B-4F46-ABDD-7598F378A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1028700</xdr:colOff>
      <xdr:row>5</xdr:row>
      <xdr:rowOff>38100</xdr:rowOff>
    </xdr:from>
    <xdr:to>
      <xdr:col>10</xdr:col>
      <xdr:colOff>1828800</xdr:colOff>
      <xdr:row>19</xdr:row>
      <xdr:rowOff>28575</xdr:rowOff>
    </xdr:to>
    <xdr:graphicFrame macro="">
      <xdr:nvGraphicFramePr>
        <xdr:cNvPr id="4" name="Chart 3">
          <a:extLst>
            <a:ext uri="{FF2B5EF4-FFF2-40B4-BE49-F238E27FC236}">
              <a16:creationId xmlns:a16="http://schemas.microsoft.com/office/drawing/2014/main" id="{AC976DB3-0DDC-49B0-B58F-A0BBD3FD1307}"/>
            </a:ext>
            <a:ext uri="{147F2762-F138-4A5C-976F-8EAC2B608ADB}">
              <a16:predDERef xmlns:a16="http://schemas.microsoft.com/office/drawing/2014/main" pred="{FD0BF0B5-FC79-454B-8EDA-D3D346FBD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1152525</xdr:colOff>
      <xdr:row>20</xdr:row>
      <xdr:rowOff>114300</xdr:rowOff>
    </xdr:from>
    <xdr:to>
      <xdr:col>11</xdr:col>
      <xdr:colOff>133350</xdr:colOff>
      <xdr:row>33</xdr:row>
      <xdr:rowOff>9525</xdr:rowOff>
    </xdr:to>
    <xdr:graphicFrame macro="">
      <xdr:nvGraphicFramePr>
        <xdr:cNvPr id="6" name="Chart 5">
          <a:extLst>
            <a:ext uri="{FF2B5EF4-FFF2-40B4-BE49-F238E27FC236}">
              <a16:creationId xmlns:a16="http://schemas.microsoft.com/office/drawing/2014/main" id="{34770E31-505F-45A1-B20C-D551B5703A67}"/>
            </a:ext>
            <a:ext uri="{147F2762-F138-4A5C-976F-8EAC2B608ADB}">
              <a16:predDERef xmlns:a16="http://schemas.microsoft.com/office/drawing/2014/main" pred="{AC976DB3-0DDC-49B0-B58F-A0BBD3FD1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962025</xdr:colOff>
      <xdr:row>17</xdr:row>
      <xdr:rowOff>76200</xdr:rowOff>
    </xdr:from>
    <xdr:to>
      <xdr:col>6</xdr:col>
      <xdr:colOff>771525</xdr:colOff>
      <xdr:row>33</xdr:row>
      <xdr:rowOff>0</xdr:rowOff>
    </xdr:to>
    <xdr:graphicFrame macro="">
      <xdr:nvGraphicFramePr>
        <xdr:cNvPr id="7" name="Chart 6">
          <a:extLst>
            <a:ext uri="{FF2B5EF4-FFF2-40B4-BE49-F238E27FC236}">
              <a16:creationId xmlns:a16="http://schemas.microsoft.com/office/drawing/2014/main" id="{302C1C6D-C766-4045-B8DE-29C614851B1B}"/>
            </a:ext>
            <a:ext uri="{147F2762-F138-4A5C-976F-8EAC2B608ADB}">
              <a16:predDERef xmlns:a16="http://schemas.microsoft.com/office/drawing/2014/main" pred="{34770E31-505F-45A1-B20C-D551B5703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1009650</xdr:colOff>
      <xdr:row>4</xdr:row>
      <xdr:rowOff>38100</xdr:rowOff>
    </xdr:from>
    <xdr:to>
      <xdr:col>9</xdr:col>
      <xdr:colOff>180975</xdr:colOff>
      <xdr:row>7</xdr:row>
      <xdr:rowOff>47625</xdr:rowOff>
    </xdr:to>
    <xdr:sp macro="" textlink="">
      <xdr:nvSpPr>
        <xdr:cNvPr id="9" name="TextBox 8">
          <a:extLst>
            <a:ext uri="{FF2B5EF4-FFF2-40B4-BE49-F238E27FC236}">
              <a16:creationId xmlns:a16="http://schemas.microsoft.com/office/drawing/2014/main" id="{43004AA8-F465-F330-0525-4A0883ADCE9E}"/>
            </a:ext>
            <a:ext uri="{147F2762-F138-4A5C-976F-8EAC2B608ADB}">
              <a16:predDERef xmlns:a16="http://schemas.microsoft.com/office/drawing/2014/main" pred="{302C1C6D-C766-4045-B8DE-29C614851B1B}"/>
            </a:ext>
          </a:extLst>
        </xdr:cNvPr>
        <xdr:cNvSpPr txBox="1"/>
      </xdr:nvSpPr>
      <xdr:spPr>
        <a:xfrm>
          <a:off x="2838450" y="685800"/>
          <a:ext cx="7991475" cy="49530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900" b="1" i="1">
              <a:solidFill>
                <a:schemeClr val="accent1">
                  <a:lumMod val="50000"/>
                </a:schemeClr>
              </a:solidFill>
              <a:latin typeface="+mn-lt"/>
              <a:ea typeface="+mn-lt"/>
              <a:cs typeface="+mn-lt"/>
            </a:rPr>
            <a:t>This dashboard examines readmission rates based on whether the patient had a post-discharge visit within 7 days of discharge. The goal is to evaluate the success of post-discharge visits and their impact on readmission rates among the five regions.</a:t>
          </a:r>
          <a:r>
            <a:rPr lang="en-US" sz="900">
              <a:solidFill>
                <a:schemeClr val="accent1">
                  <a:lumMod val="50000"/>
                </a:schemeClr>
              </a:solidFill>
              <a:latin typeface="+mn-lt"/>
              <a:ea typeface="+mn-lt"/>
              <a:cs typeface="+mn-lt"/>
            </a:rPr>
            <a:t> </a:t>
          </a:r>
          <a:endParaRPr lang="en-US" sz="1100">
            <a:solidFill>
              <a:schemeClr val="accent1">
                <a:lumMod val="50000"/>
              </a:schemeClr>
            </a:solidFill>
            <a:latin typeface="+mn-lt"/>
            <a:ea typeface="+mn-lt"/>
            <a:cs typeface="+mn-lt"/>
          </a:endParaRPr>
        </a:p>
        <a:p>
          <a:pPr marL="0" indent="0" algn="l"/>
          <a:endParaRPr lang="en-US" sz="1100">
            <a:latin typeface="+mn-lt"/>
            <a:ea typeface="+mn-lt"/>
            <a:cs typeface="+mn-lt"/>
          </a:endParaRPr>
        </a:p>
        <a:p>
          <a:pPr marL="0" indent="0" algn="l"/>
          <a:endParaRPr lang="en-US" sz="1100">
            <a:latin typeface="+mn-lt"/>
            <a:ea typeface="+mn-lt"/>
            <a:cs typeface="+mn-lt"/>
          </a:endParaRPr>
        </a:p>
        <a:p>
          <a:pPr marL="0" indent="0" algn="l"/>
          <a:endParaRPr lang="en-US" sz="1100">
            <a:latin typeface="+mn-lt"/>
            <a:ea typeface="+mn-lt"/>
            <a:cs typeface="+mn-lt"/>
          </a:endParaRPr>
        </a:p>
      </xdr:txBody>
    </xdr:sp>
    <xdr:clientData/>
  </xdr:twoCellAnchor>
  <xdr:twoCellAnchor>
    <xdr:from>
      <xdr:col>3</xdr:col>
      <xdr:colOff>1009650</xdr:colOff>
      <xdr:row>2</xdr:row>
      <xdr:rowOff>152400</xdr:rowOff>
    </xdr:from>
    <xdr:to>
      <xdr:col>6</xdr:col>
      <xdr:colOff>1104900</xdr:colOff>
      <xdr:row>4</xdr:row>
      <xdr:rowOff>104775</xdr:rowOff>
    </xdr:to>
    <xdr:sp macro="" textlink="">
      <xdr:nvSpPr>
        <xdr:cNvPr id="10" name="TextBox 9">
          <a:extLst>
            <a:ext uri="{FF2B5EF4-FFF2-40B4-BE49-F238E27FC236}">
              <a16:creationId xmlns:a16="http://schemas.microsoft.com/office/drawing/2014/main" id="{ED4F1482-C3ED-4FC5-B873-E7FDFAFEB248}"/>
            </a:ext>
            <a:ext uri="{147F2762-F138-4A5C-976F-8EAC2B608ADB}">
              <a16:predDERef xmlns:a16="http://schemas.microsoft.com/office/drawing/2014/main" pred="{43004AA8-F465-F330-0525-4A0883ADCE9E}"/>
            </a:ext>
          </a:extLst>
        </xdr:cNvPr>
        <xdr:cNvSpPr txBox="1"/>
      </xdr:nvSpPr>
      <xdr:spPr>
        <a:xfrm>
          <a:off x="2838450" y="476250"/>
          <a:ext cx="3857625" cy="276225"/>
        </a:xfrm>
        <a:prstGeom prst="rect">
          <a:avLst/>
        </a:prstGeom>
        <a:ln>
          <a:noFill/>
        </a:ln>
      </xdr:spPr>
      <xdr:style>
        <a:lnRef idx="2">
          <a:schemeClr val="accent3">
            <a:shade val="15000"/>
          </a:schemeClr>
        </a:lnRef>
        <a:fillRef idx="1">
          <a:schemeClr val="accent3"/>
        </a:fillRef>
        <a:effectRef idx="0">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1" i="0" u="none" strike="noStrike">
              <a:solidFill>
                <a:schemeClr val="tx1"/>
              </a:solidFill>
              <a:latin typeface="Arial" panose="020B0604020202020204" pitchFamily="34" charset="0"/>
              <a:cs typeface="Arial" panose="020B0604020202020204" pitchFamily="34" charset="0"/>
            </a:rPr>
            <a:t>Evaluating Readmission Rate Prevention </a:t>
          </a:r>
          <a:r>
            <a:rPr lang="en-US" sz="1100" b="1" i="0" u="none" strike="noStrike">
              <a:solidFill>
                <a:schemeClr val="lt1"/>
              </a:solidFill>
              <a:latin typeface="Arial" panose="020B0604020202020204" pitchFamily="34" charset="0"/>
              <a:cs typeface="Arial" panose="020B0604020202020204" pitchFamily="34" charset="0"/>
            </a:rPr>
            <a:t>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50800</xdr:colOff>
      <xdr:row>0</xdr:row>
      <xdr:rowOff>41275</xdr:rowOff>
    </xdr:from>
    <xdr:to>
      <xdr:col>29</xdr:col>
      <xdr:colOff>381000</xdr:colOff>
      <xdr:row>43</xdr:row>
      <xdr:rowOff>50800</xdr:rowOff>
    </xdr:to>
    <xdr:sp macro="" textlink="">
      <xdr:nvSpPr>
        <xdr:cNvPr id="3" name="Rectangle 2">
          <a:extLst>
            <a:ext uri="{FF2B5EF4-FFF2-40B4-BE49-F238E27FC236}">
              <a16:creationId xmlns:a16="http://schemas.microsoft.com/office/drawing/2014/main" id="{EAA5A72F-CE52-4C70-8854-A3A8E1691CF8}"/>
            </a:ext>
            <a:ext uri="{147F2762-F138-4A5C-976F-8EAC2B608ADB}">
              <a16:predDERef xmlns:a16="http://schemas.microsoft.com/office/drawing/2014/main" pred="{57C5E368-E689-44ED-9711-66DE198BF5D9}"/>
            </a:ext>
          </a:extLst>
        </xdr:cNvPr>
        <xdr:cNvSpPr/>
      </xdr:nvSpPr>
      <xdr:spPr>
        <a:xfrm>
          <a:off x="1727200" y="41275"/>
          <a:ext cx="15417800" cy="7108825"/>
        </a:xfrm>
        <a:prstGeom prst="rect">
          <a:avLst/>
        </a:prstGeom>
        <a:solidFill>
          <a:schemeClr val="accent1">
            <a:lumMod val="20000"/>
            <a:lumOff val="8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0</xdr:col>
      <xdr:colOff>0</xdr:colOff>
      <xdr:row>0</xdr:row>
      <xdr:rowOff>47625</xdr:rowOff>
    </xdr:from>
    <xdr:to>
      <xdr:col>3</xdr:col>
      <xdr:colOff>38100</xdr:colOff>
      <xdr:row>43</xdr:row>
      <xdr:rowOff>38100</xdr:rowOff>
    </xdr:to>
    <xdr:sp macro="" textlink="">
      <xdr:nvSpPr>
        <xdr:cNvPr id="2" name="Rectangle 1">
          <a:extLst>
            <a:ext uri="{FF2B5EF4-FFF2-40B4-BE49-F238E27FC236}">
              <a16:creationId xmlns:a16="http://schemas.microsoft.com/office/drawing/2014/main" id="{57C5E368-E689-44ED-9711-66DE198BF5D9}"/>
            </a:ext>
            <a:ext uri="{147F2762-F138-4A5C-976F-8EAC2B608ADB}">
              <a16:predDERef xmlns:a16="http://schemas.microsoft.com/office/drawing/2014/main" pred="{EAA5A72F-CE52-4C70-8854-A3A8E1691CF8}"/>
            </a:ext>
          </a:extLst>
        </xdr:cNvPr>
        <xdr:cNvSpPr/>
      </xdr:nvSpPr>
      <xdr:spPr>
        <a:xfrm>
          <a:off x="0" y="47625"/>
          <a:ext cx="1714500" cy="7089775"/>
        </a:xfrm>
        <a:prstGeom prst="rect">
          <a:avLst/>
        </a:prstGeom>
        <a:solidFill>
          <a:schemeClr val="accent1"/>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accent1"/>
            </a:solidFill>
            <a:latin typeface="+mn-lt"/>
            <a:ea typeface="+mn-lt"/>
            <a:cs typeface="+mn-lt"/>
          </a:endParaRPr>
        </a:p>
      </xdr:txBody>
    </xdr:sp>
    <xdr:clientData/>
  </xdr:twoCellAnchor>
  <xdr:twoCellAnchor>
    <xdr:from>
      <xdr:col>15</xdr:col>
      <xdr:colOff>393700</xdr:colOff>
      <xdr:row>1</xdr:row>
      <xdr:rowOff>50800</xdr:rowOff>
    </xdr:from>
    <xdr:to>
      <xdr:col>20</xdr:col>
      <xdr:colOff>190500</xdr:colOff>
      <xdr:row>6</xdr:row>
      <xdr:rowOff>25400</xdr:rowOff>
    </xdr:to>
    <xdr:sp macro="" textlink="">
      <xdr:nvSpPr>
        <xdr:cNvPr id="21" name="TextBox 20">
          <a:extLst>
            <a:ext uri="{FF2B5EF4-FFF2-40B4-BE49-F238E27FC236}">
              <a16:creationId xmlns:a16="http://schemas.microsoft.com/office/drawing/2014/main" id="{DAAF1B22-39CC-4953-8922-A52CE0BFD13F}"/>
            </a:ext>
            <a:ext uri="{147F2762-F138-4A5C-976F-8EAC2B608ADB}">
              <a16:predDERef xmlns:a16="http://schemas.microsoft.com/office/drawing/2014/main" pred="{82E2E340-C106-42FC-8858-130B15A1FB3F}"/>
            </a:ext>
          </a:extLst>
        </xdr:cNvPr>
        <xdr:cNvSpPr txBox="1"/>
      </xdr:nvSpPr>
      <xdr:spPr>
        <a:xfrm>
          <a:off x="7835900" y="215900"/>
          <a:ext cx="3060700" cy="800100"/>
        </a:xfrm>
        <a:prstGeom prst="roundRect">
          <a:avLst/>
        </a:prstGeom>
        <a:ln/>
      </xdr:spPr>
      <xdr:style>
        <a:lnRef idx="0">
          <a:schemeClr val="accent3"/>
        </a:lnRef>
        <a:fillRef idx="3">
          <a:schemeClr val="accent3"/>
        </a:fillRef>
        <a:effectRef idx="3">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endParaRPr lang="en-US" sz="1200" b="1" i="0" u="none" strike="noStrike">
            <a:solidFill>
              <a:schemeClr val="tx1"/>
            </a:solidFill>
            <a:latin typeface="Arial" panose="020B0604020202020204" pitchFamily="34" charset="0"/>
            <a:cs typeface="Arial" panose="020B0604020202020204" pitchFamily="34" charset="0"/>
          </a:endParaRPr>
        </a:p>
        <a:p>
          <a:pPr marL="0" indent="0" algn="ctr"/>
          <a:endParaRPr lang="en-US" sz="1200" b="1" i="0" u="none" strike="noStrike">
            <a:solidFill>
              <a:schemeClr val="tx1"/>
            </a:solidFill>
            <a:latin typeface="Arial" panose="020B0604020202020204" pitchFamily="34" charset="0"/>
            <a:cs typeface="Arial" panose="020B0604020202020204" pitchFamily="34" charset="0"/>
          </a:endParaRPr>
        </a:p>
        <a:p>
          <a:pPr marL="0" indent="0" algn="ctr"/>
          <a:endParaRPr lang="en-US" sz="1200" b="1" i="0" u="none" strike="noStrike">
            <a:solidFill>
              <a:schemeClr val="tx1"/>
            </a:solidFill>
            <a:latin typeface="Arial" panose="020B0604020202020204" pitchFamily="34" charset="0"/>
            <a:cs typeface="Arial" panose="020B0604020202020204" pitchFamily="34" charset="0"/>
          </a:endParaRPr>
        </a:p>
        <a:p>
          <a:pPr marL="0" indent="0" algn="ctr"/>
          <a:r>
            <a:rPr lang="en-US" sz="1200" b="1" i="0" u="none" strike="noStrike">
              <a:solidFill>
                <a:schemeClr val="tx1"/>
              </a:solidFill>
              <a:latin typeface="Arial" panose="020B0604020202020204" pitchFamily="34" charset="0"/>
              <a:cs typeface="Arial" panose="020B0604020202020204" pitchFamily="34" charset="0"/>
            </a:rPr>
            <a:t>Hospital Readmissions</a:t>
          </a:r>
          <a:r>
            <a:rPr lang="en-US" sz="1200" b="1" i="0" u="none" strike="noStrike">
              <a:solidFill>
                <a:schemeClr val="lt1"/>
              </a:solidFill>
              <a:latin typeface="Arial" panose="020B0604020202020204" pitchFamily="34" charset="0"/>
              <a:cs typeface="Arial" panose="020B0604020202020204" pitchFamily="34" charset="0"/>
            </a:rPr>
            <a:t>  </a:t>
          </a:r>
        </a:p>
      </xdr:txBody>
    </xdr:sp>
    <xdr:clientData/>
  </xdr:twoCellAnchor>
  <xdr:twoCellAnchor>
    <xdr:from>
      <xdr:col>0</xdr:col>
      <xdr:colOff>69850</xdr:colOff>
      <xdr:row>1</xdr:row>
      <xdr:rowOff>0</xdr:rowOff>
    </xdr:from>
    <xdr:to>
      <xdr:col>2</xdr:col>
      <xdr:colOff>441325</xdr:colOff>
      <xdr:row>4</xdr:row>
      <xdr:rowOff>127000</xdr:rowOff>
    </xdr:to>
    <xdr:sp macro="" textlink="">
      <xdr:nvSpPr>
        <xdr:cNvPr id="22" name="TextBox 21">
          <a:extLst>
            <a:ext uri="{FF2B5EF4-FFF2-40B4-BE49-F238E27FC236}">
              <a16:creationId xmlns:a16="http://schemas.microsoft.com/office/drawing/2014/main" id="{BDA374E5-6A89-4B48-BD93-BB55B1BF547F}"/>
            </a:ext>
            <a:ext uri="{147F2762-F138-4A5C-976F-8EAC2B608ADB}">
              <a16:predDERef xmlns:a16="http://schemas.microsoft.com/office/drawing/2014/main" pred="{DAAF1B22-39CC-4953-8922-A52CE0BFD13F}"/>
            </a:ext>
          </a:extLst>
        </xdr:cNvPr>
        <xdr:cNvSpPr txBox="1"/>
      </xdr:nvSpPr>
      <xdr:spPr>
        <a:xfrm>
          <a:off x="69850" y="165100"/>
          <a:ext cx="1590675" cy="622300"/>
        </a:xfrm>
        <a:prstGeom prst="roundRect">
          <a:avLst/>
        </a:prstGeom>
        <a:ln/>
      </xdr:spPr>
      <xdr:style>
        <a:lnRef idx="0">
          <a:schemeClr val="accent3"/>
        </a:lnRef>
        <a:fillRef idx="3">
          <a:schemeClr val="accent3"/>
        </a:fillRef>
        <a:effectRef idx="3">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1" i="0" u="none" strike="noStrike">
              <a:solidFill>
                <a:schemeClr val="tx1"/>
              </a:solidFill>
              <a:latin typeface="Arial" panose="020B0604020202020204" pitchFamily="34" charset="0"/>
              <a:cs typeface="Arial" panose="020B0604020202020204" pitchFamily="34" charset="0"/>
            </a:rPr>
            <a:t>Evaluating Readmission Rate Prevention </a:t>
          </a:r>
          <a:r>
            <a:rPr lang="en-US" sz="1100" b="1" i="0" u="none" strike="noStrike">
              <a:solidFill>
                <a:schemeClr val="lt1"/>
              </a:solidFill>
              <a:latin typeface="Arial" panose="020B0604020202020204" pitchFamily="34" charset="0"/>
              <a:cs typeface="Arial" panose="020B0604020202020204" pitchFamily="34" charset="0"/>
            </a:rPr>
            <a:t> </a:t>
          </a:r>
        </a:p>
      </xdr:txBody>
    </xdr:sp>
    <xdr:clientData/>
  </xdr:twoCellAnchor>
  <xdr:twoCellAnchor>
    <xdr:from>
      <xdr:col>13</xdr:col>
      <xdr:colOff>12700</xdr:colOff>
      <xdr:row>7</xdr:row>
      <xdr:rowOff>114300</xdr:rowOff>
    </xdr:from>
    <xdr:to>
      <xdr:col>19</xdr:col>
      <xdr:colOff>508000</xdr:colOff>
      <xdr:row>24</xdr:row>
      <xdr:rowOff>38100</xdr:rowOff>
    </xdr:to>
    <xdr:graphicFrame macro="">
      <xdr:nvGraphicFramePr>
        <xdr:cNvPr id="26" name="Chart 25">
          <a:extLst>
            <a:ext uri="{FF2B5EF4-FFF2-40B4-BE49-F238E27FC236}">
              <a16:creationId xmlns:a16="http://schemas.microsoft.com/office/drawing/2014/main" id="{F141E82D-D09A-4096-92FE-8871C70772C1}"/>
            </a:ext>
            <a:ext uri="{147F2762-F138-4A5C-976F-8EAC2B608ADB}">
              <a16:predDERef xmlns:a16="http://schemas.microsoft.com/office/drawing/2014/main" pred="{117C373F-8847-4872-871B-29BF90648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114301</xdr:colOff>
      <xdr:row>25</xdr:row>
      <xdr:rowOff>25400</xdr:rowOff>
    </xdr:from>
    <xdr:to>
      <xdr:col>29</xdr:col>
      <xdr:colOff>292100</xdr:colOff>
      <xdr:row>42</xdr:row>
      <xdr:rowOff>114300</xdr:rowOff>
    </xdr:to>
    <xdr:graphicFrame macro="">
      <xdr:nvGraphicFramePr>
        <xdr:cNvPr id="27" name="Chart 26">
          <a:extLst>
            <a:ext uri="{FF2B5EF4-FFF2-40B4-BE49-F238E27FC236}">
              <a16:creationId xmlns:a16="http://schemas.microsoft.com/office/drawing/2014/main" id="{8BEF8DB5-993D-414E-9CBA-6192124CD57D}"/>
            </a:ext>
            <a:ext uri="{147F2762-F138-4A5C-976F-8EAC2B608ADB}">
              <a16:predDERef xmlns:a16="http://schemas.microsoft.com/office/drawing/2014/main" pred="{F141E82D-D09A-4096-92FE-8871C7077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422275</xdr:colOff>
      <xdr:row>1</xdr:row>
      <xdr:rowOff>3174</xdr:rowOff>
    </xdr:from>
    <xdr:to>
      <xdr:col>29</xdr:col>
      <xdr:colOff>241300</xdr:colOff>
      <xdr:row>6</xdr:row>
      <xdr:rowOff>63499</xdr:rowOff>
    </xdr:to>
    <xdr:sp macro="" textlink="">
      <xdr:nvSpPr>
        <xdr:cNvPr id="38" name="TextBox 37">
          <a:extLst>
            <a:ext uri="{FF2B5EF4-FFF2-40B4-BE49-F238E27FC236}">
              <a16:creationId xmlns:a16="http://schemas.microsoft.com/office/drawing/2014/main" id="{550E2561-8BD3-4743-A445-401AA7A0BE71}"/>
            </a:ext>
            <a:ext uri="{147F2762-F138-4A5C-976F-8EAC2B608ADB}">
              <a16:predDERef xmlns:a16="http://schemas.microsoft.com/office/drawing/2014/main" pred="{E67E1E0C-394A-4149-BD83-FF57D12EEF8D}"/>
            </a:ext>
          </a:extLst>
        </xdr:cNvPr>
        <xdr:cNvSpPr txBox="1"/>
      </xdr:nvSpPr>
      <xdr:spPr>
        <a:xfrm>
          <a:off x="15166975" y="168274"/>
          <a:ext cx="1838325" cy="885825"/>
        </a:xfrm>
        <a:prstGeom prst="roundRect">
          <a:avLst/>
        </a:prstGeom>
        <a:solidFill>
          <a:schemeClr val="bg1"/>
        </a:solidFill>
        <a:ln>
          <a:solidFill>
            <a:schemeClr val="tx1">
              <a:lumMod val="85000"/>
              <a:lumOff val="15000"/>
            </a:schemeClr>
          </a:solidFill>
        </a:ln>
      </xdr:spPr>
      <xdr:style>
        <a:lnRef idx="0">
          <a:schemeClr val="accent3"/>
        </a:lnRef>
        <a:fillRef idx="3">
          <a:schemeClr val="accent3"/>
        </a:fillRef>
        <a:effectRef idx="3">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endParaRPr lang="en-US" sz="1100" b="1" i="0" u="none" strike="noStrike">
            <a:solidFill>
              <a:schemeClr val="accent1"/>
            </a:solidFill>
            <a:latin typeface="Arial" panose="020B0604020202020204" pitchFamily="34" charset="0"/>
            <a:cs typeface="Arial" panose="020B0604020202020204" pitchFamily="34" charset="0"/>
          </a:endParaRPr>
        </a:p>
        <a:p>
          <a:pPr marL="0" indent="0" algn="ctr"/>
          <a:endParaRPr lang="en-US" sz="1100" b="1" i="0" u="none" strike="noStrike">
            <a:solidFill>
              <a:schemeClr val="accent1"/>
            </a:solidFill>
            <a:latin typeface="Arial" panose="020B0604020202020204" pitchFamily="34" charset="0"/>
            <a:cs typeface="Arial" panose="020B0604020202020204" pitchFamily="34" charset="0"/>
          </a:endParaRPr>
        </a:p>
        <a:p>
          <a:pPr marL="0" indent="0" algn="ctr"/>
          <a:r>
            <a:rPr lang="en-US" sz="1100" b="1" i="0" u="none" strike="noStrike">
              <a:solidFill>
                <a:schemeClr val="accent1"/>
              </a:solidFill>
              <a:latin typeface="Arial" panose="020B0604020202020204" pitchFamily="34" charset="0"/>
              <a:cs typeface="Arial" panose="020B0604020202020204" pitchFamily="34" charset="0"/>
            </a:rPr>
            <a:t>State With Lowest Readmission Rate  </a:t>
          </a:r>
        </a:p>
      </xdr:txBody>
    </xdr:sp>
    <xdr:clientData/>
  </xdr:twoCellAnchor>
  <xdr:twoCellAnchor>
    <xdr:from>
      <xdr:col>27</xdr:col>
      <xdr:colOff>215900</xdr:colOff>
      <xdr:row>1</xdr:row>
      <xdr:rowOff>25400</xdr:rowOff>
    </xdr:from>
    <xdr:to>
      <xdr:col>28</xdr:col>
      <xdr:colOff>419100</xdr:colOff>
      <xdr:row>3</xdr:row>
      <xdr:rowOff>136525</xdr:rowOff>
    </xdr:to>
    <xdr:sp macro="" textlink="">
      <xdr:nvSpPr>
        <xdr:cNvPr id="40" name="TextBox 39">
          <a:extLst>
            <a:ext uri="{FF2B5EF4-FFF2-40B4-BE49-F238E27FC236}">
              <a16:creationId xmlns:a16="http://schemas.microsoft.com/office/drawing/2014/main" id="{E3D8BA39-A30B-4807-A2A7-1F2D78BE3300}"/>
            </a:ext>
            <a:ext uri="{147F2762-F138-4A5C-976F-8EAC2B608ADB}">
              <a16:predDERef xmlns:a16="http://schemas.microsoft.com/office/drawing/2014/main" pred="{B5C6B738-00F7-4BE6-99CF-76A5A2927772}"/>
            </a:ext>
          </a:extLst>
        </xdr:cNvPr>
        <xdr:cNvSpPr txBox="1"/>
      </xdr:nvSpPr>
      <xdr:spPr>
        <a:xfrm>
          <a:off x="15633700" y="190500"/>
          <a:ext cx="876300" cy="441325"/>
        </a:xfrm>
        <a:prstGeom prst="rect">
          <a:avLst/>
        </a:prstGeom>
        <a:solidFill>
          <a:schemeClr val="lt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600" b="1" i="0" u="none" strike="noStrike">
              <a:solidFill>
                <a:srgbClr val="000000"/>
              </a:solidFill>
              <a:latin typeface="Arial" panose="020B0604020202020204" pitchFamily="34" charset="0"/>
              <a:cs typeface="Arial" panose="020B0604020202020204" pitchFamily="34" charset="0"/>
            </a:rPr>
            <a:t>IL-14%</a:t>
          </a:r>
        </a:p>
      </xdr:txBody>
    </xdr:sp>
    <xdr:clientData/>
  </xdr:twoCellAnchor>
  <xdr:twoCellAnchor>
    <xdr:from>
      <xdr:col>0</xdr:col>
      <xdr:colOff>53975</xdr:colOff>
      <xdr:row>23</xdr:row>
      <xdr:rowOff>76200</xdr:rowOff>
    </xdr:from>
    <xdr:to>
      <xdr:col>2</xdr:col>
      <xdr:colOff>425450</xdr:colOff>
      <xdr:row>36</xdr:row>
      <xdr:rowOff>104775</xdr:rowOff>
    </xdr:to>
    <xdr:sp macro="" textlink="">
      <xdr:nvSpPr>
        <xdr:cNvPr id="6" name="TextBox 5">
          <a:extLst>
            <a:ext uri="{FF2B5EF4-FFF2-40B4-BE49-F238E27FC236}">
              <a16:creationId xmlns:a16="http://schemas.microsoft.com/office/drawing/2014/main" id="{15EC9DB4-60CD-4EAC-A326-8981A37F46B6}"/>
            </a:ext>
            <a:ext uri="{147F2762-F138-4A5C-976F-8EAC2B608ADB}">
              <a16:predDERef xmlns:a16="http://schemas.microsoft.com/office/drawing/2014/main" pred="{E3D8BA39-A30B-4807-A2A7-1F2D78BE3300}"/>
            </a:ext>
          </a:extLst>
        </xdr:cNvPr>
        <xdr:cNvSpPr txBox="1"/>
      </xdr:nvSpPr>
      <xdr:spPr>
        <a:xfrm>
          <a:off x="53975" y="3873500"/>
          <a:ext cx="1590675" cy="2174875"/>
        </a:xfrm>
        <a:prstGeom prst="roundRect">
          <a:avLst/>
        </a:prstGeom>
        <a:ln/>
        <a:effectLst>
          <a:outerShdw blurRad="50800" dist="38100" dir="2700000" algn="tl" rotWithShape="0">
            <a:prstClr val="black">
              <a:alpha val="40000"/>
            </a:prstClr>
          </a:outerShdw>
        </a:effectLst>
      </xdr:spPr>
      <xdr:style>
        <a:lnRef idx="0">
          <a:schemeClr val="accent3"/>
        </a:lnRef>
        <a:fillRef idx="3">
          <a:schemeClr val="accent3"/>
        </a:fillRef>
        <a:effectRef idx="3">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l">
            <a:lnSpc>
              <a:spcPct val="100000"/>
            </a:lnSpc>
            <a:spcBef>
              <a:spcPts val="0"/>
            </a:spcBef>
            <a:spcAft>
              <a:spcPts val="0"/>
            </a:spcAft>
          </a:pPr>
          <a:r>
            <a:rPr lang="en-US" sz="900" b="1" i="1" u="none" strike="noStrike">
              <a:solidFill>
                <a:schemeClr val="tx1"/>
              </a:solidFill>
              <a:latin typeface="Arial" panose="020B0604020202020204" pitchFamily="34" charset="0"/>
              <a:cs typeface="Arial" panose="020B0604020202020204" pitchFamily="34" charset="0"/>
            </a:rPr>
            <a:t>This dashboard examines readmission rates based on whether the patient had a post-discharge visit within 7 days of discharge. The goal is to evaluate the success of post-discharge visits and their impact on readmission rates among the five regions</a:t>
          </a:r>
          <a:r>
            <a:rPr lang="en-US" sz="900" b="1" i="1" u="none" strike="noStrike">
              <a:solidFill>
                <a:schemeClr val="accent1">
                  <a:lumMod val="50000"/>
                </a:schemeClr>
              </a:solidFill>
              <a:latin typeface="Arial" panose="020B0604020202020204" pitchFamily="34" charset="0"/>
              <a:cs typeface="Arial" panose="020B0604020202020204" pitchFamily="34" charset="0"/>
            </a:rPr>
            <a:t>.</a:t>
          </a:r>
          <a:r>
            <a:rPr lang="en-US" sz="1100" b="1" i="0" u="none" strike="noStrike">
              <a:solidFill>
                <a:schemeClr val="tx1"/>
              </a:solidFill>
              <a:latin typeface="Arial" panose="020B0604020202020204" pitchFamily="34" charset="0"/>
              <a:cs typeface="Arial" panose="020B0604020202020204" pitchFamily="34" charset="0"/>
            </a:rPr>
            <a:t> </a:t>
          </a:r>
          <a:r>
            <a:rPr lang="en-US" sz="1100" b="1" i="0" u="none" strike="noStrike">
              <a:solidFill>
                <a:schemeClr val="lt1"/>
              </a:solidFill>
              <a:latin typeface="Arial" panose="020B0604020202020204" pitchFamily="34" charset="0"/>
              <a:cs typeface="Arial" panose="020B0604020202020204" pitchFamily="34" charset="0"/>
            </a:rPr>
            <a:t> </a:t>
          </a:r>
        </a:p>
      </xdr:txBody>
    </xdr:sp>
    <xdr:clientData/>
  </xdr:twoCellAnchor>
  <xdr:twoCellAnchor editAs="oneCell">
    <xdr:from>
      <xdr:col>20</xdr:col>
      <xdr:colOff>0</xdr:colOff>
      <xdr:row>11</xdr:row>
      <xdr:rowOff>88900</xdr:rowOff>
    </xdr:from>
    <xdr:to>
      <xdr:col>29</xdr:col>
      <xdr:colOff>292100</xdr:colOff>
      <xdr:row>19</xdr:row>
      <xdr:rowOff>63500</xdr:rowOff>
    </xdr:to>
    <xdr:pic>
      <xdr:nvPicPr>
        <xdr:cNvPr id="8" name="Picture 7">
          <a:extLst>
            <a:ext uri="{FF2B5EF4-FFF2-40B4-BE49-F238E27FC236}">
              <a16:creationId xmlns:a16="http://schemas.microsoft.com/office/drawing/2014/main" id="{9F60F4A7-F04A-BB2D-9C75-9072997BD64A}"/>
            </a:ext>
          </a:extLst>
        </xdr:cNvPr>
        <xdr:cNvPicPr>
          <a:picLocks noChangeAspect="1"/>
        </xdr:cNvPicPr>
      </xdr:nvPicPr>
      <xdr:blipFill>
        <a:blip xmlns:r="http://schemas.openxmlformats.org/officeDocument/2006/relationships" r:embed="rId3"/>
        <a:stretch>
          <a:fillRect/>
        </a:stretch>
      </xdr:blipFill>
      <xdr:spPr>
        <a:xfrm>
          <a:off x="10706100" y="1905000"/>
          <a:ext cx="6350000" cy="1295400"/>
        </a:xfrm>
        <a:prstGeom prst="rect">
          <a:avLst/>
        </a:prstGeom>
      </xdr:spPr>
    </xdr:pic>
    <xdr:clientData/>
  </xdr:twoCellAnchor>
  <xdr:twoCellAnchor>
    <xdr:from>
      <xdr:col>23</xdr:col>
      <xdr:colOff>349251</xdr:colOff>
      <xdr:row>1</xdr:row>
      <xdr:rowOff>3175</xdr:rowOff>
    </xdr:from>
    <xdr:to>
      <xdr:col>26</xdr:col>
      <xdr:colOff>266701</xdr:colOff>
      <xdr:row>6</xdr:row>
      <xdr:rowOff>63500</xdr:rowOff>
    </xdr:to>
    <xdr:sp macro="" textlink="">
      <xdr:nvSpPr>
        <xdr:cNvPr id="15" name="TextBox 14">
          <a:extLst>
            <a:ext uri="{FF2B5EF4-FFF2-40B4-BE49-F238E27FC236}">
              <a16:creationId xmlns:a16="http://schemas.microsoft.com/office/drawing/2014/main" id="{9E0E83C2-F234-C048-924A-28EEDC59CE7D}"/>
            </a:ext>
            <a:ext uri="{147F2762-F138-4A5C-976F-8EAC2B608ADB}">
              <a16:predDERef xmlns:a16="http://schemas.microsoft.com/office/drawing/2014/main" pred="{E67E1E0C-394A-4149-BD83-FF57D12EEF8D}"/>
            </a:ext>
          </a:extLst>
        </xdr:cNvPr>
        <xdr:cNvSpPr txBox="1"/>
      </xdr:nvSpPr>
      <xdr:spPr>
        <a:xfrm>
          <a:off x="13074651" y="168275"/>
          <a:ext cx="1936750" cy="885825"/>
        </a:xfrm>
        <a:prstGeom prst="roundRect">
          <a:avLst/>
        </a:prstGeom>
        <a:solidFill>
          <a:schemeClr val="bg1"/>
        </a:solidFill>
        <a:ln>
          <a:solidFill>
            <a:schemeClr val="tx1">
              <a:lumMod val="85000"/>
              <a:lumOff val="15000"/>
            </a:schemeClr>
          </a:solidFill>
        </a:ln>
      </xdr:spPr>
      <xdr:style>
        <a:lnRef idx="0">
          <a:schemeClr val="accent3"/>
        </a:lnRef>
        <a:fillRef idx="3">
          <a:schemeClr val="accent3"/>
        </a:fillRef>
        <a:effectRef idx="3">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endParaRPr lang="en-US" sz="1100" b="1" i="0" u="none" strike="noStrike">
            <a:solidFill>
              <a:schemeClr val="accent1"/>
            </a:solidFill>
            <a:latin typeface="Arial" panose="020B0604020202020204" pitchFamily="34" charset="0"/>
            <a:cs typeface="Arial" panose="020B0604020202020204" pitchFamily="34" charset="0"/>
          </a:endParaRPr>
        </a:p>
        <a:p>
          <a:pPr marL="0" indent="0" algn="ctr"/>
          <a:endParaRPr lang="en-US" sz="1100" b="1" i="0" u="none" strike="noStrike">
            <a:solidFill>
              <a:schemeClr val="accent1"/>
            </a:solidFill>
            <a:latin typeface="Arial" panose="020B0604020202020204" pitchFamily="34" charset="0"/>
            <a:cs typeface="Arial" panose="020B0604020202020204" pitchFamily="34" charset="0"/>
          </a:endParaRPr>
        </a:p>
        <a:p>
          <a:pPr marL="0" indent="0" algn="ctr"/>
          <a:endParaRPr lang="en-US" sz="1100" b="1" i="0" u="none" strike="noStrike">
            <a:solidFill>
              <a:schemeClr val="accent1"/>
            </a:solidFill>
            <a:latin typeface="Arial" panose="020B0604020202020204" pitchFamily="34" charset="0"/>
            <a:cs typeface="Arial" panose="020B0604020202020204" pitchFamily="34" charset="0"/>
          </a:endParaRPr>
        </a:p>
        <a:p>
          <a:pPr marL="0" indent="0" algn="ctr"/>
          <a:r>
            <a:rPr lang="en-US" sz="1100" b="1" i="0" u="none" strike="noStrike">
              <a:solidFill>
                <a:schemeClr val="accent1"/>
              </a:solidFill>
              <a:latin typeface="Arial" panose="020B0604020202020204" pitchFamily="34" charset="0"/>
              <a:cs typeface="Arial" panose="020B0604020202020204" pitchFamily="34" charset="0"/>
            </a:rPr>
            <a:t>Post PDV Readmission</a:t>
          </a:r>
        </a:p>
      </xdr:txBody>
    </xdr:sp>
    <xdr:clientData/>
  </xdr:twoCellAnchor>
  <xdr:twoCellAnchor>
    <xdr:from>
      <xdr:col>24</xdr:col>
      <xdr:colOff>171450</xdr:colOff>
      <xdr:row>1</xdr:row>
      <xdr:rowOff>136525</xdr:rowOff>
    </xdr:from>
    <xdr:to>
      <xdr:col>25</xdr:col>
      <xdr:colOff>431800</xdr:colOff>
      <xdr:row>3</xdr:row>
      <xdr:rowOff>146050</xdr:rowOff>
    </xdr:to>
    <xdr:sp macro="" textlink="">
      <xdr:nvSpPr>
        <xdr:cNvPr id="39" name="TextBox 38">
          <a:extLst>
            <a:ext uri="{FF2B5EF4-FFF2-40B4-BE49-F238E27FC236}">
              <a16:creationId xmlns:a16="http://schemas.microsoft.com/office/drawing/2014/main" id="{B5C6B738-00F7-4BE6-99CF-76A5A2927772}"/>
            </a:ext>
            <a:ext uri="{147F2762-F138-4A5C-976F-8EAC2B608ADB}">
              <a16:predDERef xmlns:a16="http://schemas.microsoft.com/office/drawing/2014/main" pred="{550E2561-8BD3-4743-A445-401AA7A0BE71}"/>
            </a:ext>
          </a:extLst>
        </xdr:cNvPr>
        <xdr:cNvSpPr txBox="1"/>
      </xdr:nvSpPr>
      <xdr:spPr>
        <a:xfrm>
          <a:off x="13569950" y="301625"/>
          <a:ext cx="933450" cy="339725"/>
        </a:xfrm>
        <a:prstGeom prst="rect">
          <a:avLst/>
        </a:prstGeom>
        <a:solidFill>
          <a:schemeClr val="lt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600" b="1" i="0" u="none" strike="noStrike">
              <a:solidFill>
                <a:srgbClr val="000000"/>
              </a:solidFill>
              <a:latin typeface="Arial" panose="020B0604020202020204" pitchFamily="34" charset="0"/>
              <a:cs typeface="Arial" panose="020B0604020202020204" pitchFamily="34" charset="0"/>
            </a:rPr>
            <a:t>67%</a:t>
          </a:r>
        </a:p>
      </xdr:txBody>
    </xdr:sp>
    <xdr:clientData/>
  </xdr:twoCellAnchor>
  <xdr:twoCellAnchor>
    <xdr:from>
      <xdr:col>20</xdr:col>
      <xdr:colOff>298451</xdr:colOff>
      <xdr:row>0</xdr:row>
      <xdr:rowOff>155575</xdr:rowOff>
    </xdr:from>
    <xdr:to>
      <xdr:col>23</xdr:col>
      <xdr:colOff>215901</xdr:colOff>
      <xdr:row>6</xdr:row>
      <xdr:rowOff>50800</xdr:rowOff>
    </xdr:to>
    <xdr:sp macro="" textlink="">
      <xdr:nvSpPr>
        <xdr:cNvPr id="23" name="TextBox 22">
          <a:extLst>
            <a:ext uri="{FF2B5EF4-FFF2-40B4-BE49-F238E27FC236}">
              <a16:creationId xmlns:a16="http://schemas.microsoft.com/office/drawing/2014/main" id="{745EB77A-FBA8-7D41-B229-6AE82987F9FA}"/>
            </a:ext>
            <a:ext uri="{147F2762-F138-4A5C-976F-8EAC2B608ADB}">
              <a16:predDERef xmlns:a16="http://schemas.microsoft.com/office/drawing/2014/main" pred="{E67E1E0C-394A-4149-BD83-FF57D12EEF8D}"/>
            </a:ext>
          </a:extLst>
        </xdr:cNvPr>
        <xdr:cNvSpPr txBox="1"/>
      </xdr:nvSpPr>
      <xdr:spPr>
        <a:xfrm>
          <a:off x="11004551" y="155575"/>
          <a:ext cx="1936750" cy="885825"/>
        </a:xfrm>
        <a:prstGeom prst="roundRect">
          <a:avLst/>
        </a:prstGeom>
        <a:solidFill>
          <a:schemeClr val="bg1"/>
        </a:solidFill>
        <a:ln>
          <a:solidFill>
            <a:schemeClr val="tx1">
              <a:lumMod val="85000"/>
              <a:lumOff val="15000"/>
            </a:schemeClr>
          </a:solidFill>
        </a:ln>
      </xdr:spPr>
      <xdr:style>
        <a:lnRef idx="0">
          <a:schemeClr val="accent3"/>
        </a:lnRef>
        <a:fillRef idx="3">
          <a:schemeClr val="accent3"/>
        </a:fillRef>
        <a:effectRef idx="3">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endParaRPr lang="en-US" sz="1100" b="1" i="0" u="none" strike="noStrike">
            <a:solidFill>
              <a:schemeClr val="accent1"/>
            </a:solidFill>
            <a:latin typeface="Arial" panose="020B0604020202020204" pitchFamily="34" charset="0"/>
            <a:cs typeface="Arial" panose="020B0604020202020204" pitchFamily="34" charset="0"/>
          </a:endParaRPr>
        </a:p>
        <a:p>
          <a:pPr marL="0" indent="0" algn="ctr"/>
          <a:endParaRPr lang="en-US" sz="1100" b="1" i="0" u="none" strike="noStrike">
            <a:solidFill>
              <a:schemeClr val="accent1"/>
            </a:solidFill>
            <a:latin typeface="Arial" panose="020B0604020202020204" pitchFamily="34" charset="0"/>
            <a:cs typeface="Arial" panose="020B0604020202020204" pitchFamily="34" charset="0"/>
          </a:endParaRPr>
        </a:p>
        <a:p>
          <a:pPr marL="0" indent="0" algn="ctr"/>
          <a:endParaRPr lang="en-US" sz="1100" b="1" i="0" u="none" strike="noStrike">
            <a:solidFill>
              <a:schemeClr val="accent1"/>
            </a:solidFill>
            <a:latin typeface="Arial" panose="020B0604020202020204" pitchFamily="34" charset="0"/>
            <a:cs typeface="Arial" panose="020B0604020202020204" pitchFamily="34" charset="0"/>
          </a:endParaRPr>
        </a:p>
        <a:p>
          <a:pPr marL="0" indent="0" algn="ctr"/>
          <a:r>
            <a:rPr lang="en-US" sz="1100" b="1" i="0" u="none" strike="noStrike">
              <a:solidFill>
                <a:schemeClr val="accent1"/>
              </a:solidFill>
              <a:latin typeface="Arial" panose="020B0604020202020204" pitchFamily="34" charset="0"/>
              <a:cs typeface="Arial" panose="020B0604020202020204" pitchFamily="34" charset="0"/>
            </a:rPr>
            <a:t>Non-PDV Readmission</a:t>
          </a:r>
        </a:p>
      </xdr:txBody>
    </xdr:sp>
    <xdr:clientData/>
  </xdr:twoCellAnchor>
  <xdr:twoCellAnchor>
    <xdr:from>
      <xdr:col>21</xdr:col>
      <xdr:colOff>44450</xdr:colOff>
      <xdr:row>1</xdr:row>
      <xdr:rowOff>114300</xdr:rowOff>
    </xdr:from>
    <xdr:to>
      <xdr:col>22</xdr:col>
      <xdr:colOff>298450</xdr:colOff>
      <xdr:row>4</xdr:row>
      <xdr:rowOff>3175</xdr:rowOff>
    </xdr:to>
    <xdr:sp macro="" textlink="">
      <xdr:nvSpPr>
        <xdr:cNvPr id="36" name="TextBox 35">
          <a:extLst>
            <a:ext uri="{FF2B5EF4-FFF2-40B4-BE49-F238E27FC236}">
              <a16:creationId xmlns:a16="http://schemas.microsoft.com/office/drawing/2014/main" id="{25623D10-45A6-45DC-8468-E9CA203C8258}"/>
            </a:ext>
            <a:ext uri="{147F2762-F138-4A5C-976F-8EAC2B608ADB}">
              <a16:predDERef xmlns:a16="http://schemas.microsoft.com/office/drawing/2014/main" pred="{3287FCBD-839C-4A63-864F-F20EA502873C}"/>
            </a:ext>
          </a:extLst>
        </xdr:cNvPr>
        <xdr:cNvSpPr txBox="1"/>
      </xdr:nvSpPr>
      <xdr:spPr>
        <a:xfrm>
          <a:off x="11423650" y="279400"/>
          <a:ext cx="927100" cy="384175"/>
        </a:xfrm>
        <a:prstGeom prst="rect">
          <a:avLst/>
        </a:prstGeom>
        <a:solidFill>
          <a:schemeClr val="lt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600" b="1" i="0" u="none" strike="noStrike">
              <a:solidFill>
                <a:srgbClr val="000000"/>
              </a:solidFill>
              <a:latin typeface="Arial" panose="020B0604020202020204" pitchFamily="34" charset="0"/>
              <a:cs typeface="Arial" panose="020B0604020202020204" pitchFamily="34" charset="0"/>
            </a:rPr>
            <a:t>33%</a:t>
          </a:r>
        </a:p>
      </xdr:txBody>
    </xdr:sp>
    <xdr:clientData/>
  </xdr:twoCellAnchor>
  <xdr:twoCellAnchor editAs="oneCell">
    <xdr:from>
      <xdr:col>17</xdr:col>
      <xdr:colOff>419101</xdr:colOff>
      <xdr:row>1</xdr:row>
      <xdr:rowOff>76200</xdr:rowOff>
    </xdr:from>
    <xdr:to>
      <xdr:col>18</xdr:col>
      <xdr:colOff>283234</xdr:colOff>
      <xdr:row>4</xdr:row>
      <xdr:rowOff>34925</xdr:rowOff>
    </xdr:to>
    <xdr:pic>
      <xdr:nvPicPr>
        <xdr:cNvPr id="17" name="Picture 16">
          <a:extLst>
            <a:ext uri="{FF2B5EF4-FFF2-40B4-BE49-F238E27FC236}">
              <a16:creationId xmlns:a16="http://schemas.microsoft.com/office/drawing/2014/main" id="{82E2E340-C106-42FC-8858-130B15A1FB3F}"/>
            </a:ext>
            <a:ext uri="{147F2762-F138-4A5C-976F-8EAC2B608ADB}">
              <a16:predDERef xmlns:a16="http://schemas.microsoft.com/office/drawing/2014/main" pred="{532B65B0-B43D-4392-B403-21D9550EF26D}"/>
            </a:ext>
          </a:extLst>
        </xdr:cNvPr>
        <xdr:cNvPicPr>
          <a:picLocks noChangeAspect="1"/>
        </xdr:cNvPicPr>
      </xdr:nvPicPr>
      <xdr:blipFill>
        <a:blip xmlns:r="http://schemas.openxmlformats.org/officeDocument/2006/relationships" r:embed="rId4"/>
        <a:stretch>
          <a:fillRect/>
        </a:stretch>
      </xdr:blipFill>
      <xdr:spPr>
        <a:xfrm>
          <a:off x="9105901" y="241300"/>
          <a:ext cx="537233" cy="454025"/>
        </a:xfrm>
        <a:prstGeom prst="rect">
          <a:avLst/>
        </a:prstGeom>
      </xdr:spPr>
    </xdr:pic>
    <xdr:clientData/>
  </xdr:twoCellAnchor>
  <xdr:twoCellAnchor>
    <xdr:from>
      <xdr:col>11</xdr:col>
      <xdr:colOff>482601</xdr:colOff>
      <xdr:row>0</xdr:row>
      <xdr:rowOff>104775</xdr:rowOff>
    </xdr:from>
    <xdr:to>
      <xdr:col>15</xdr:col>
      <xdr:colOff>254001</xdr:colOff>
      <xdr:row>6</xdr:row>
      <xdr:rowOff>0</xdr:rowOff>
    </xdr:to>
    <xdr:sp macro="" textlink="">
      <xdr:nvSpPr>
        <xdr:cNvPr id="25" name="TextBox 24">
          <a:extLst>
            <a:ext uri="{FF2B5EF4-FFF2-40B4-BE49-F238E27FC236}">
              <a16:creationId xmlns:a16="http://schemas.microsoft.com/office/drawing/2014/main" id="{FCE2ABF2-8290-A747-856C-8B5228DB4D06}"/>
            </a:ext>
            <a:ext uri="{147F2762-F138-4A5C-976F-8EAC2B608ADB}">
              <a16:predDERef xmlns:a16="http://schemas.microsoft.com/office/drawing/2014/main" pred="{E67E1E0C-394A-4149-BD83-FF57D12EEF8D}"/>
            </a:ext>
          </a:extLst>
        </xdr:cNvPr>
        <xdr:cNvSpPr txBox="1"/>
      </xdr:nvSpPr>
      <xdr:spPr>
        <a:xfrm>
          <a:off x="5816601" y="104775"/>
          <a:ext cx="1879600" cy="885825"/>
        </a:xfrm>
        <a:prstGeom prst="roundRect">
          <a:avLst/>
        </a:prstGeom>
        <a:solidFill>
          <a:schemeClr val="bg1"/>
        </a:solidFill>
        <a:ln>
          <a:solidFill>
            <a:schemeClr val="tx1">
              <a:lumMod val="85000"/>
              <a:lumOff val="15000"/>
            </a:schemeClr>
          </a:solidFill>
        </a:ln>
      </xdr:spPr>
      <xdr:style>
        <a:lnRef idx="0">
          <a:schemeClr val="accent3"/>
        </a:lnRef>
        <a:fillRef idx="3">
          <a:schemeClr val="accent3"/>
        </a:fillRef>
        <a:effectRef idx="3">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endParaRPr lang="en-US" sz="1100" b="1" i="0" u="none" strike="noStrike">
            <a:solidFill>
              <a:schemeClr val="accent1"/>
            </a:solidFill>
            <a:latin typeface="Arial" panose="020B0604020202020204" pitchFamily="34" charset="0"/>
            <a:cs typeface="Arial" panose="020B0604020202020204" pitchFamily="34" charset="0"/>
          </a:endParaRPr>
        </a:p>
        <a:p>
          <a:pPr marL="0" indent="0" algn="ctr"/>
          <a:endParaRPr lang="en-US" sz="1100" b="1" i="0" u="none" strike="noStrike">
            <a:solidFill>
              <a:schemeClr val="accent1"/>
            </a:solidFill>
            <a:latin typeface="Arial" panose="020B0604020202020204" pitchFamily="34" charset="0"/>
            <a:cs typeface="Arial" panose="020B0604020202020204" pitchFamily="34" charset="0"/>
          </a:endParaRPr>
        </a:p>
        <a:p>
          <a:pPr marL="0" indent="0" algn="ctr"/>
          <a:r>
            <a:rPr lang="en-US" sz="1100" b="1" i="0" u="none" strike="noStrike">
              <a:solidFill>
                <a:schemeClr val="accent1"/>
              </a:solidFill>
              <a:latin typeface="Arial" panose="020B0604020202020204" pitchFamily="34" charset="0"/>
              <a:cs typeface="Arial" panose="020B0604020202020204" pitchFamily="34" charset="0"/>
            </a:rPr>
            <a:t>Gross</a:t>
          </a:r>
          <a:r>
            <a:rPr lang="en-US" sz="1100" b="1" i="0" u="none" strike="noStrike" baseline="0">
              <a:solidFill>
                <a:schemeClr val="accent1"/>
              </a:solidFill>
              <a:latin typeface="Arial" panose="020B0604020202020204" pitchFamily="34" charset="0"/>
              <a:cs typeface="Arial" panose="020B0604020202020204" pitchFamily="34" charset="0"/>
            </a:rPr>
            <a:t> Readmission </a:t>
          </a:r>
        </a:p>
        <a:p>
          <a:pPr marL="0" indent="0" algn="ctr"/>
          <a:r>
            <a:rPr lang="en-US" sz="1100" b="1" i="0" u="none" strike="noStrike" baseline="0">
              <a:solidFill>
                <a:schemeClr val="accent1"/>
              </a:solidFill>
              <a:latin typeface="Arial" panose="020B0604020202020204" pitchFamily="34" charset="0"/>
              <a:cs typeface="Arial" panose="020B0604020202020204" pitchFamily="34" charset="0"/>
            </a:rPr>
            <a:t>Rate </a:t>
          </a:r>
          <a:endParaRPr lang="en-US" sz="1100" b="1" i="0" u="none" strike="noStrike">
            <a:solidFill>
              <a:schemeClr val="accent1"/>
            </a:solidFill>
            <a:latin typeface="Arial" panose="020B0604020202020204" pitchFamily="34" charset="0"/>
            <a:cs typeface="Arial" panose="020B0604020202020204" pitchFamily="34" charset="0"/>
          </a:endParaRPr>
        </a:p>
      </xdr:txBody>
    </xdr:sp>
    <xdr:clientData/>
  </xdr:twoCellAnchor>
  <xdr:twoCellAnchor>
    <xdr:from>
      <xdr:col>12</xdr:col>
      <xdr:colOff>387350</xdr:colOff>
      <xdr:row>1</xdr:row>
      <xdr:rowOff>19050</xdr:rowOff>
    </xdr:from>
    <xdr:to>
      <xdr:col>14</xdr:col>
      <xdr:colOff>327025</xdr:colOff>
      <xdr:row>3</xdr:row>
      <xdr:rowOff>28575</xdr:rowOff>
    </xdr:to>
    <xdr:sp macro="" textlink="">
      <xdr:nvSpPr>
        <xdr:cNvPr id="32" name="TextBox 31">
          <a:extLst>
            <a:ext uri="{FF2B5EF4-FFF2-40B4-BE49-F238E27FC236}">
              <a16:creationId xmlns:a16="http://schemas.microsoft.com/office/drawing/2014/main" id="{6ACAFB24-C89D-42A4-81E0-DE06CBE0EAE8}"/>
            </a:ext>
            <a:ext uri="{147F2762-F138-4A5C-976F-8EAC2B608ADB}">
              <a16:predDERef xmlns:a16="http://schemas.microsoft.com/office/drawing/2014/main" pred="{666A3F8F-C8B1-4341-B46E-E2E85C23C05F}"/>
            </a:ext>
          </a:extLst>
        </xdr:cNvPr>
        <xdr:cNvSpPr txBox="1"/>
      </xdr:nvSpPr>
      <xdr:spPr>
        <a:xfrm>
          <a:off x="6292850" y="184150"/>
          <a:ext cx="930275" cy="339725"/>
        </a:xfrm>
        <a:prstGeom prst="rect">
          <a:avLst/>
        </a:prstGeom>
        <a:solidFill>
          <a:schemeClr val="lt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600" b="1" i="0" u="none" strike="noStrike">
              <a:solidFill>
                <a:srgbClr val="000000"/>
              </a:solidFill>
              <a:latin typeface="Arial" panose="020B0604020202020204" pitchFamily="34" charset="0"/>
              <a:cs typeface="Arial" panose="020B0604020202020204" pitchFamily="34" charset="0"/>
            </a:rPr>
            <a:t>20%</a:t>
          </a:r>
        </a:p>
      </xdr:txBody>
    </xdr:sp>
    <xdr:clientData/>
  </xdr:twoCellAnchor>
  <xdr:twoCellAnchor>
    <xdr:from>
      <xdr:col>7</xdr:col>
      <xdr:colOff>298451</xdr:colOff>
      <xdr:row>0</xdr:row>
      <xdr:rowOff>104775</xdr:rowOff>
    </xdr:from>
    <xdr:to>
      <xdr:col>11</xdr:col>
      <xdr:colOff>355601</xdr:colOff>
      <xdr:row>6</xdr:row>
      <xdr:rowOff>0</xdr:rowOff>
    </xdr:to>
    <xdr:sp macro="" textlink="">
      <xdr:nvSpPr>
        <xdr:cNvPr id="30" name="TextBox 29">
          <a:extLst>
            <a:ext uri="{FF2B5EF4-FFF2-40B4-BE49-F238E27FC236}">
              <a16:creationId xmlns:a16="http://schemas.microsoft.com/office/drawing/2014/main" id="{EDC4DDC0-D851-1549-8468-D0F370630A9E}"/>
            </a:ext>
            <a:ext uri="{147F2762-F138-4A5C-976F-8EAC2B608ADB}">
              <a16:predDERef xmlns:a16="http://schemas.microsoft.com/office/drawing/2014/main" pred="{E67E1E0C-394A-4149-BD83-FF57D12EEF8D}"/>
            </a:ext>
          </a:extLst>
        </xdr:cNvPr>
        <xdr:cNvSpPr txBox="1"/>
      </xdr:nvSpPr>
      <xdr:spPr>
        <a:xfrm>
          <a:off x="3790951" y="104775"/>
          <a:ext cx="1898650" cy="885825"/>
        </a:xfrm>
        <a:prstGeom prst="roundRect">
          <a:avLst/>
        </a:prstGeom>
        <a:solidFill>
          <a:schemeClr val="bg1"/>
        </a:solidFill>
        <a:ln>
          <a:solidFill>
            <a:schemeClr val="tx1">
              <a:lumMod val="85000"/>
              <a:lumOff val="15000"/>
            </a:schemeClr>
          </a:solidFill>
        </a:ln>
      </xdr:spPr>
      <xdr:style>
        <a:lnRef idx="0">
          <a:schemeClr val="accent3"/>
        </a:lnRef>
        <a:fillRef idx="3">
          <a:schemeClr val="accent3"/>
        </a:fillRef>
        <a:effectRef idx="3">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endParaRPr lang="en-US" sz="1100" b="1" i="0" u="none" strike="noStrike">
            <a:solidFill>
              <a:schemeClr val="accent1"/>
            </a:solidFill>
            <a:latin typeface="Arial" panose="020B0604020202020204" pitchFamily="34" charset="0"/>
            <a:cs typeface="Arial" panose="020B0604020202020204" pitchFamily="34" charset="0"/>
          </a:endParaRPr>
        </a:p>
        <a:p>
          <a:pPr marL="0" indent="0" algn="ctr"/>
          <a:endParaRPr lang="en-US" sz="1100" b="1" i="0" u="none" strike="noStrike">
            <a:solidFill>
              <a:schemeClr val="accent1"/>
            </a:solidFill>
            <a:latin typeface="Arial" panose="020B0604020202020204" pitchFamily="34" charset="0"/>
            <a:cs typeface="Arial" panose="020B0604020202020204" pitchFamily="34" charset="0"/>
          </a:endParaRPr>
        </a:p>
        <a:p>
          <a:pPr marL="0" indent="0" algn="ctr"/>
          <a:r>
            <a:rPr lang="en-US" sz="1100" b="1" i="0" u="none" strike="noStrike">
              <a:solidFill>
                <a:schemeClr val="accent1"/>
              </a:solidFill>
              <a:latin typeface="Arial" panose="020B0604020202020204" pitchFamily="34" charset="0"/>
              <a:cs typeface="Arial" panose="020B0604020202020204" pitchFamily="34" charset="0"/>
            </a:rPr>
            <a:t>Days Between Discharge &amp;</a:t>
          </a:r>
          <a:r>
            <a:rPr lang="en-US" sz="1100" b="1" i="0" u="none" strike="noStrike" baseline="0">
              <a:solidFill>
                <a:schemeClr val="accent1"/>
              </a:solidFill>
              <a:latin typeface="Arial" panose="020B0604020202020204" pitchFamily="34" charset="0"/>
              <a:cs typeface="Arial" panose="020B0604020202020204" pitchFamily="34" charset="0"/>
            </a:rPr>
            <a:t> PDV </a:t>
          </a:r>
          <a:endParaRPr lang="en-US" sz="1100" b="1" i="0" u="none" strike="noStrike">
            <a:solidFill>
              <a:schemeClr val="accent1"/>
            </a:solidFill>
            <a:latin typeface="Arial" panose="020B0604020202020204" pitchFamily="34" charset="0"/>
            <a:cs typeface="Arial" panose="020B0604020202020204" pitchFamily="34" charset="0"/>
          </a:endParaRPr>
        </a:p>
      </xdr:txBody>
    </xdr:sp>
    <xdr:clientData/>
  </xdr:twoCellAnchor>
  <xdr:twoCellAnchor>
    <xdr:from>
      <xdr:col>8</xdr:col>
      <xdr:colOff>454025</xdr:colOff>
      <xdr:row>1</xdr:row>
      <xdr:rowOff>28575</xdr:rowOff>
    </xdr:from>
    <xdr:to>
      <xdr:col>10</xdr:col>
      <xdr:colOff>123825</xdr:colOff>
      <xdr:row>3</xdr:row>
      <xdr:rowOff>38100</xdr:rowOff>
    </xdr:to>
    <xdr:sp macro="" textlink="">
      <xdr:nvSpPr>
        <xdr:cNvPr id="28" name="TextBox 27">
          <a:extLst>
            <a:ext uri="{FF2B5EF4-FFF2-40B4-BE49-F238E27FC236}">
              <a16:creationId xmlns:a16="http://schemas.microsoft.com/office/drawing/2014/main" id="{E4EBFD57-050E-731C-E91C-344440CA94F6}"/>
            </a:ext>
            <a:ext uri="{147F2762-F138-4A5C-976F-8EAC2B608ADB}">
              <a16:predDERef xmlns:a16="http://schemas.microsoft.com/office/drawing/2014/main" pred="{8BEF8DB5-993D-414E-9CBA-6192124CD57D}"/>
            </a:ext>
          </a:extLst>
        </xdr:cNvPr>
        <xdr:cNvSpPr txBox="1"/>
      </xdr:nvSpPr>
      <xdr:spPr>
        <a:xfrm>
          <a:off x="4403725" y="193675"/>
          <a:ext cx="596900" cy="33972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ctr"/>
          <a:r>
            <a:rPr lang="en-US" sz="1600" b="1" i="0" u="none" strike="noStrike">
              <a:solidFill>
                <a:srgbClr val="000000"/>
              </a:solidFill>
              <a:latin typeface="Arial" panose="020B0604020202020204" pitchFamily="34" charset="0"/>
              <a:cs typeface="Arial" panose="020B0604020202020204" pitchFamily="34" charset="0"/>
            </a:rPr>
            <a:t>12</a:t>
          </a:r>
        </a:p>
      </xdr:txBody>
    </xdr:sp>
    <xdr:clientData/>
  </xdr:twoCellAnchor>
  <xdr:twoCellAnchor>
    <xdr:from>
      <xdr:col>3</xdr:col>
      <xdr:colOff>114301</xdr:colOff>
      <xdr:row>0</xdr:row>
      <xdr:rowOff>104775</xdr:rowOff>
    </xdr:from>
    <xdr:to>
      <xdr:col>7</xdr:col>
      <xdr:colOff>203201</xdr:colOff>
      <xdr:row>6</xdr:row>
      <xdr:rowOff>0</xdr:rowOff>
    </xdr:to>
    <xdr:sp macro="" textlink="">
      <xdr:nvSpPr>
        <xdr:cNvPr id="35" name="TextBox 34">
          <a:extLst>
            <a:ext uri="{FF2B5EF4-FFF2-40B4-BE49-F238E27FC236}">
              <a16:creationId xmlns:a16="http://schemas.microsoft.com/office/drawing/2014/main" id="{5F1DF3FB-E149-A948-830E-56573EBC847F}"/>
            </a:ext>
            <a:ext uri="{147F2762-F138-4A5C-976F-8EAC2B608ADB}">
              <a16:predDERef xmlns:a16="http://schemas.microsoft.com/office/drawing/2014/main" pred="{E67E1E0C-394A-4149-BD83-FF57D12EEF8D}"/>
            </a:ext>
          </a:extLst>
        </xdr:cNvPr>
        <xdr:cNvSpPr txBox="1"/>
      </xdr:nvSpPr>
      <xdr:spPr>
        <a:xfrm>
          <a:off x="1790701" y="104775"/>
          <a:ext cx="1905000" cy="885825"/>
        </a:xfrm>
        <a:prstGeom prst="roundRect">
          <a:avLst/>
        </a:prstGeom>
        <a:solidFill>
          <a:schemeClr val="bg1"/>
        </a:solidFill>
        <a:ln>
          <a:solidFill>
            <a:schemeClr val="tx1">
              <a:lumMod val="85000"/>
              <a:lumOff val="15000"/>
            </a:schemeClr>
          </a:solidFill>
        </a:ln>
      </xdr:spPr>
      <xdr:style>
        <a:lnRef idx="0">
          <a:schemeClr val="accent3"/>
        </a:lnRef>
        <a:fillRef idx="3">
          <a:schemeClr val="accent3"/>
        </a:fillRef>
        <a:effectRef idx="3">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endParaRPr lang="en-US" sz="1100" b="1" i="0" u="none" strike="noStrike">
            <a:solidFill>
              <a:schemeClr val="accent1"/>
            </a:solidFill>
            <a:latin typeface="Arial" panose="020B0604020202020204" pitchFamily="34" charset="0"/>
            <a:cs typeface="Arial" panose="020B0604020202020204" pitchFamily="34" charset="0"/>
          </a:endParaRPr>
        </a:p>
        <a:p>
          <a:pPr marL="0" indent="0" algn="ctr"/>
          <a:endParaRPr lang="en-US" sz="1100" b="1" i="0" u="none" strike="noStrike">
            <a:solidFill>
              <a:schemeClr val="accent1"/>
            </a:solidFill>
            <a:latin typeface="Arial" panose="020B0604020202020204" pitchFamily="34" charset="0"/>
            <a:cs typeface="Arial" panose="020B0604020202020204" pitchFamily="34" charset="0"/>
          </a:endParaRPr>
        </a:p>
        <a:p>
          <a:pPr marL="0" indent="0" algn="ctr"/>
          <a:r>
            <a:rPr lang="en-US" sz="1100" b="1" i="0" u="none" strike="noStrike">
              <a:solidFill>
                <a:schemeClr val="accent1"/>
              </a:solidFill>
              <a:latin typeface="Arial" panose="020B0604020202020204" pitchFamily="34" charset="0"/>
              <a:cs typeface="Arial" panose="020B0604020202020204" pitchFamily="34" charset="0"/>
            </a:rPr>
            <a:t>PDV Completion</a:t>
          </a:r>
          <a:r>
            <a:rPr lang="en-US" sz="1100" b="1" i="0" u="none" strike="noStrike" baseline="0">
              <a:solidFill>
                <a:schemeClr val="accent1"/>
              </a:solidFill>
              <a:latin typeface="Arial" panose="020B0604020202020204" pitchFamily="34" charset="0"/>
              <a:cs typeface="Arial" panose="020B0604020202020204" pitchFamily="34" charset="0"/>
            </a:rPr>
            <a:t> Rate </a:t>
          </a:r>
          <a:endParaRPr lang="en-US" sz="1100" b="1" i="0" u="none" strike="noStrike">
            <a:solidFill>
              <a:schemeClr val="accent1"/>
            </a:solidFill>
            <a:latin typeface="Arial" panose="020B0604020202020204" pitchFamily="34" charset="0"/>
            <a:cs typeface="Arial" panose="020B0604020202020204" pitchFamily="34" charset="0"/>
          </a:endParaRPr>
        </a:p>
      </xdr:txBody>
    </xdr:sp>
    <xdr:clientData/>
  </xdr:twoCellAnchor>
  <xdr:twoCellAnchor>
    <xdr:from>
      <xdr:col>4</xdr:col>
      <xdr:colOff>228600</xdr:colOff>
      <xdr:row>0</xdr:row>
      <xdr:rowOff>149225</xdr:rowOff>
    </xdr:from>
    <xdr:to>
      <xdr:col>5</xdr:col>
      <xdr:colOff>447675</xdr:colOff>
      <xdr:row>2</xdr:row>
      <xdr:rowOff>158750</xdr:rowOff>
    </xdr:to>
    <xdr:sp macro="" textlink="">
      <xdr:nvSpPr>
        <xdr:cNvPr id="31" name="TextBox 30">
          <a:extLst>
            <a:ext uri="{FF2B5EF4-FFF2-40B4-BE49-F238E27FC236}">
              <a16:creationId xmlns:a16="http://schemas.microsoft.com/office/drawing/2014/main" id="{F2D3730B-53EE-4EB6-9F60-13FBB65D3F10}"/>
            </a:ext>
            <a:ext uri="{147F2762-F138-4A5C-976F-8EAC2B608ADB}">
              <a16:predDERef xmlns:a16="http://schemas.microsoft.com/office/drawing/2014/main" pred="{692F81CB-FDE0-4069-B446-A0387E1A37FD}"/>
            </a:ext>
          </a:extLst>
        </xdr:cNvPr>
        <xdr:cNvSpPr txBox="1"/>
      </xdr:nvSpPr>
      <xdr:spPr>
        <a:xfrm>
          <a:off x="2387600" y="149225"/>
          <a:ext cx="688975" cy="339725"/>
        </a:xfrm>
        <a:prstGeom prst="rect">
          <a:avLst/>
        </a:prstGeom>
        <a:solidFill>
          <a:schemeClr val="lt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600" b="1" i="0" u="none" strike="noStrike">
              <a:solidFill>
                <a:srgbClr val="000000"/>
              </a:solidFill>
              <a:latin typeface="Arial" panose="020B0604020202020204" pitchFamily="34" charset="0"/>
              <a:cs typeface="Arial" panose="020B0604020202020204" pitchFamily="34" charset="0"/>
            </a:rPr>
            <a:t>85%</a:t>
          </a:r>
        </a:p>
      </xdr:txBody>
    </xdr:sp>
    <xdr:clientData/>
  </xdr:twoCellAnchor>
  <xdr:twoCellAnchor editAs="oneCell">
    <xdr:from>
      <xdr:col>0</xdr:col>
      <xdr:colOff>0</xdr:colOff>
      <xdr:row>41</xdr:row>
      <xdr:rowOff>98425</xdr:rowOff>
    </xdr:from>
    <xdr:to>
      <xdr:col>3</xdr:col>
      <xdr:colOff>127000</xdr:colOff>
      <xdr:row>43</xdr:row>
      <xdr:rowOff>60325</xdr:rowOff>
    </xdr:to>
    <xdr:pic>
      <xdr:nvPicPr>
        <xdr:cNvPr id="44" name="Picture 43">
          <a:extLst>
            <a:ext uri="{FF2B5EF4-FFF2-40B4-BE49-F238E27FC236}">
              <a16:creationId xmlns:a16="http://schemas.microsoft.com/office/drawing/2014/main" id="{44BDC51E-E3DB-F5C0-C963-8421C60BB35E}"/>
            </a:ext>
          </a:extLst>
        </xdr:cNvPr>
        <xdr:cNvPicPr>
          <a:picLocks noChangeAspect="1"/>
        </xdr:cNvPicPr>
      </xdr:nvPicPr>
      <xdr:blipFill>
        <a:blip xmlns:r="http://schemas.openxmlformats.org/officeDocument/2006/relationships" r:embed="rId5"/>
        <a:stretch>
          <a:fillRect/>
        </a:stretch>
      </xdr:blipFill>
      <xdr:spPr>
        <a:xfrm>
          <a:off x="0" y="6867525"/>
          <a:ext cx="1803400" cy="292100"/>
        </a:xfrm>
        <a:prstGeom prst="rect">
          <a:avLst/>
        </a:prstGeom>
      </xdr:spPr>
    </xdr:pic>
    <xdr:clientData/>
  </xdr:twoCellAnchor>
  <xdr:twoCellAnchor editAs="oneCell">
    <xdr:from>
      <xdr:col>0</xdr:col>
      <xdr:colOff>165100</xdr:colOff>
      <xdr:row>8</xdr:row>
      <xdr:rowOff>111125</xdr:rowOff>
    </xdr:from>
    <xdr:to>
      <xdr:col>2</xdr:col>
      <xdr:colOff>342900</xdr:colOff>
      <xdr:row>18</xdr:row>
      <xdr:rowOff>38100</xdr:rowOff>
    </xdr:to>
    <mc:AlternateContent xmlns:mc="http://schemas.openxmlformats.org/markup-compatibility/2006" xmlns:a14="http://schemas.microsoft.com/office/drawing/2010/main">
      <mc:Choice Requires="a14">
        <xdr:graphicFrame macro="">
          <xdr:nvGraphicFramePr>
            <xdr:cNvPr id="50" name="Region 1">
              <a:extLst>
                <a:ext uri="{FF2B5EF4-FFF2-40B4-BE49-F238E27FC236}">
                  <a16:creationId xmlns:a16="http://schemas.microsoft.com/office/drawing/2014/main" id="{24F62DD6-A30B-914C-BB04-34DAFB19FD5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5100" y="1431925"/>
              <a:ext cx="1397000" cy="1577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381000</xdr:colOff>
      <xdr:row>24</xdr:row>
      <xdr:rowOff>152400</xdr:rowOff>
    </xdr:from>
    <xdr:to>
      <xdr:col>19</xdr:col>
      <xdr:colOff>609600</xdr:colOff>
      <xdr:row>42</xdr:row>
      <xdr:rowOff>101599</xdr:rowOff>
    </xdr:to>
    <xdr:graphicFrame macro="">
      <xdr:nvGraphicFramePr>
        <xdr:cNvPr id="51" name="Chart 50">
          <a:extLst>
            <a:ext uri="{FF2B5EF4-FFF2-40B4-BE49-F238E27FC236}">
              <a16:creationId xmlns:a16="http://schemas.microsoft.com/office/drawing/2014/main" id="{E5643EC4-4AC9-7442-A31D-0A817CFB44E7}"/>
            </a:ext>
            <a:ext uri="{147F2762-F138-4A5C-976F-8EAC2B608ADB}">
              <a16:predDERef xmlns:a16="http://schemas.microsoft.com/office/drawing/2014/main" pred="{71C2058C-AE38-3648-9A82-220FE535B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127000</xdr:colOff>
      <xdr:row>7</xdr:row>
      <xdr:rowOff>117475</xdr:rowOff>
    </xdr:from>
    <xdr:to>
      <xdr:col>12</xdr:col>
      <xdr:colOff>469900</xdr:colOff>
      <xdr:row>24</xdr:row>
      <xdr:rowOff>53975</xdr:rowOff>
    </xdr:to>
    <xdr:graphicFrame macro="">
      <xdr:nvGraphicFramePr>
        <xdr:cNvPr id="52" name="Chart 51">
          <a:extLst>
            <a:ext uri="{FF2B5EF4-FFF2-40B4-BE49-F238E27FC236}">
              <a16:creationId xmlns:a16="http://schemas.microsoft.com/office/drawing/2014/main" id="{73966406-3527-F44A-90AE-F2DD7D751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885101504631" createdVersion="8" refreshedVersion="8" minRefreshableVersion="3" recordCount="5" xr:uid="{079FE7CE-B20E-4EA0-9FD0-3D7275D9F80F}">
  <cacheSource type="worksheet">
    <worksheetSource ref="K9:T14" sheet="Raw Data"/>
  </cacheSource>
  <cacheFields count="10">
    <cacheField name="Regions" numFmtId="0">
      <sharedItems count="5">
        <s v="IL"/>
        <s v="IN "/>
        <s v="MI "/>
        <s v="PA "/>
        <s v="TX "/>
      </sharedItems>
    </cacheField>
    <cacheField name="Count of Admissions " numFmtId="0">
      <sharedItems containsSemiMixedTypes="0" containsString="0" containsNumber="1" containsInteger="1" minValue="41" maxValue="79"/>
    </cacheField>
    <cacheField name="Count of PDV " numFmtId="0">
      <sharedItems containsSemiMixedTypes="0" containsString="0" containsNumber="1" containsInteger="1" minValue="30" maxValue="71"/>
    </cacheField>
    <cacheField name="Percentage of PDV Completed " numFmtId="9">
      <sharedItems containsSemiMixedTypes="0" containsString="0" containsNumber="1" minValue="0.73170000000000002" maxValue="0.92310000000000003"/>
    </cacheField>
    <cacheField name="Average Days Between Initial Discharge " numFmtId="0">
      <sharedItems containsSemiMixedTypes="0" containsString="0" containsNumber="1" containsInteger="1" minValue="10" maxValue="14"/>
    </cacheField>
    <cacheField name="Count of Readmissions" numFmtId="0">
      <sharedItems containsSemiMixedTypes="0" containsString="0" containsNumber="1" containsInteger="1" minValue="10" maxValue="14"/>
    </cacheField>
    <cacheField name="Percentage of Readmissions" numFmtId="9">
      <sharedItems containsSemiMixedTypes="0" containsString="0" containsNumber="1" minValue="0.14000000000000001" maxValue="0.24"/>
    </cacheField>
    <cacheField name="Count of PDV Completed" numFmtId="0">
      <sharedItems containsSemiMixedTypes="0" containsString="0" containsNumber="1" containsInteger="1" minValue="3" maxValue="14"/>
    </cacheField>
    <cacheField name="Percentage of  Readmissions with PDV " numFmtId="9">
      <sharedItems containsSemiMixedTypes="0" containsString="0" containsNumber="1" minValue="0.3" maxValue="0.86"/>
    </cacheField>
    <cacheField name="Percentage of Readmissions without PDV " numFmtId="9">
      <sharedItems containsSemiMixedTypes="0" containsString="0" containsNumber="1" minValue="0.14000000000000001" maxValue="0.7"/>
    </cacheField>
  </cacheFields>
  <extLst>
    <ext xmlns:x14="http://schemas.microsoft.com/office/spreadsheetml/2009/9/main" uri="{725AE2AE-9491-48be-B2B4-4EB974FC3084}">
      <x14:pivotCacheDefinition pivotCacheId="3027592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6.960321527775" createdVersion="8" refreshedVersion="8" minRefreshableVersion="3" recordCount="5" xr:uid="{2D967B1D-BB5E-460C-98EA-9DCB2C4A701E}">
  <cacheSource type="worksheet">
    <worksheetSource name="Table3"/>
  </cacheSource>
  <cacheFields count="7">
    <cacheField name="Region " numFmtId="0">
      <sharedItems count="5">
        <s v="IN"/>
        <s v="MI "/>
        <s v="TX "/>
        <s v="IL "/>
        <s v="PA "/>
      </sharedItems>
    </cacheField>
    <cacheField name="Admissions Count " numFmtId="0">
      <sharedItems containsSemiMixedTypes="0" containsString="0" containsNumber="1" containsInteger="1" minValue="41" maxValue="79"/>
    </cacheField>
    <cacheField name="PDV Comleted " numFmtId="9">
      <sharedItems containsSemiMixedTypes="0" containsString="0" containsNumber="1" minValue="0.3" maxValue="0.86"/>
    </cacheField>
    <cacheField name="Days " numFmtId="0">
      <sharedItems containsSemiMixedTypes="0" containsString="0" containsNumber="1" containsInteger="1" minValue="10" maxValue="14"/>
    </cacheField>
    <cacheField name="Readmission Rate " numFmtId="9">
      <sharedItems containsSemiMixedTypes="0" containsString="0" containsNumber="1" minValue="0.14000000000000001" maxValue="0.24"/>
    </cacheField>
    <cacheField name="Readmission Rate (No PDV)" numFmtId="9">
      <sharedItems containsSemiMixedTypes="0" containsString="0" containsNumber="1" minValue="0.15" maxValue="0.7"/>
    </cacheField>
    <cacheField name="Readmission Rate PDV " numFmtId="9">
      <sharedItems containsSemiMixedTypes="0" containsString="0" containsNumber="1" minValue="0.3" maxValue="0.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anelle Thompson" refreshedDate="46047.466906944443" createdVersion="8" refreshedVersion="8" minRefreshableVersion="3" recordCount="300" xr:uid="{8C184645-06DE-2741-942F-0F54640AB2B1}">
  <cacheSource type="worksheet">
    <worksheetSource ref="A1:I301" sheet="Raw Data"/>
  </cacheSource>
  <cacheFields count="11">
    <cacheField name="Record" numFmtId="0">
      <sharedItems containsSemiMixedTypes="0" containsString="0" containsNumber="1" containsInteger="1" minValue="1" maxValue="300"/>
    </cacheField>
    <cacheField name="Patient ID" numFmtId="0">
      <sharedItems containsSemiMixedTypes="0" containsString="0" containsNumber="1" containsInteger="1" minValue="10012" maxValue="29986"/>
    </cacheField>
    <cacheField name="Region" numFmtId="0">
      <sharedItems count="5">
        <s v="PA"/>
        <s v="IL"/>
        <s v="IN"/>
        <s v="TX"/>
        <s v="MI"/>
      </sharedItems>
    </cacheField>
    <cacheField name="Admission Date 1" numFmtId="14">
      <sharedItems containsSemiMixedTypes="0" containsNonDate="0" containsDate="1" containsString="0" minDate="2023-01-01T00:00:00" maxDate="2023-06-01T00:00:00"/>
    </cacheField>
    <cacheField name="Discharge Date 1" numFmtId="14">
      <sharedItems containsSemiMixedTypes="0" containsNonDate="0" containsDate="1" containsString="0" minDate="2023-01-03T00:00:00" maxDate="2023-06-03T00:00:00" count="129">
        <d v="2023-04-21T00:00:00"/>
        <d v="2023-02-15T00:00:00"/>
        <d v="2023-01-10T00:00:00"/>
        <d v="2023-03-14T00:00:00"/>
        <d v="2023-03-18T00:00:00"/>
        <d v="2023-03-16T00:00:00"/>
        <d v="2023-05-31T00:00:00"/>
        <d v="2023-05-10T00:00:00"/>
        <d v="2023-01-21T00:00:00"/>
        <d v="2023-01-05T00:00:00"/>
        <d v="2023-01-28T00:00:00"/>
        <d v="2023-04-11T00:00:00"/>
        <d v="2023-02-18T00:00:00"/>
        <d v="2023-04-23T00:00:00"/>
        <d v="2023-04-03T00:00:00"/>
        <d v="2023-03-25T00:00:00"/>
        <d v="2023-02-13T00:00:00"/>
        <d v="2023-05-17T00:00:00"/>
        <d v="2023-04-06T00:00:00"/>
        <d v="2023-04-15T00:00:00"/>
        <d v="2023-01-14T00:00:00"/>
        <d v="2023-04-08T00:00:00"/>
        <d v="2023-01-11T00:00:00"/>
        <d v="2023-04-07T00:00:00"/>
        <d v="2023-01-08T00:00:00"/>
        <d v="2023-02-11T00:00:00"/>
        <d v="2023-03-05T00:00:00"/>
        <d v="2023-04-26T00:00:00"/>
        <d v="2023-01-17T00:00:00"/>
        <d v="2023-05-29T00:00:00"/>
        <d v="2023-04-09T00:00:00"/>
        <d v="2023-05-07T00:00:00"/>
        <d v="2023-05-13T00:00:00"/>
        <d v="2023-05-18T00:00:00"/>
        <d v="2023-01-31T00:00:00"/>
        <d v="2023-04-20T00:00:00"/>
        <d v="2023-04-01T00:00:00"/>
        <d v="2023-05-22T00:00:00"/>
        <d v="2023-03-31T00:00:00"/>
        <d v="2023-02-21T00:00:00"/>
        <d v="2023-02-23T00:00:00"/>
        <d v="2023-02-22T00:00:00"/>
        <d v="2023-02-09T00:00:00"/>
        <d v="2023-04-30T00:00:00"/>
        <d v="2023-03-13T00:00:00"/>
        <d v="2023-05-16T00:00:00"/>
        <d v="2023-03-03T00:00:00"/>
        <d v="2023-05-30T00:00:00"/>
        <d v="2023-05-28T00:00:00"/>
        <d v="2023-03-22T00:00:00"/>
        <d v="2023-03-23T00:00:00"/>
        <d v="2023-05-08T00:00:00"/>
        <d v="2023-04-28T00:00:00"/>
        <d v="2023-02-20T00:00:00"/>
        <d v="2023-02-26T00:00:00"/>
        <d v="2023-01-27T00:00:00"/>
        <d v="2023-04-22T00:00:00"/>
        <d v="2023-01-15T00:00:00"/>
        <d v="2023-03-26T00:00:00"/>
        <d v="2023-04-05T00:00:00"/>
        <d v="2023-02-08T00:00:00"/>
        <d v="2023-05-14T00:00:00"/>
        <d v="2023-02-16T00:00:00"/>
        <d v="2023-04-29T00:00:00"/>
        <d v="2023-01-06T00:00:00"/>
        <d v="2023-03-08T00:00:00"/>
        <d v="2023-05-26T00:00:00"/>
        <d v="2023-01-07T00:00:00"/>
        <d v="2023-01-29T00:00:00"/>
        <d v="2023-03-27T00:00:00"/>
        <d v="2023-01-18T00:00:00"/>
        <d v="2023-03-04T00:00:00"/>
        <d v="2023-02-07T00:00:00"/>
        <d v="2023-02-25T00:00:00"/>
        <d v="2023-02-03T00:00:00"/>
        <d v="2023-03-17T00:00:00"/>
        <d v="2023-05-12T00:00:00"/>
        <d v="2023-06-01T00:00:00"/>
        <d v="2023-02-19T00:00:00"/>
        <d v="2023-05-19T00:00:00"/>
        <d v="2023-05-20T00:00:00"/>
        <d v="2023-03-02T00:00:00"/>
        <d v="2023-03-19T00:00:00"/>
        <d v="2023-01-20T00:00:00"/>
        <d v="2023-01-13T00:00:00"/>
        <d v="2023-02-05T00:00:00"/>
        <d v="2023-01-30T00:00:00"/>
        <d v="2023-04-19T00:00:00"/>
        <d v="2023-05-03T00:00:00"/>
        <d v="2023-04-12T00:00:00"/>
        <d v="2023-06-02T00:00:00"/>
        <d v="2023-05-05T00:00:00"/>
        <d v="2023-01-22T00:00:00"/>
        <d v="2023-05-06T00:00:00"/>
        <d v="2023-01-04T00:00:00"/>
        <d v="2023-03-11T00:00:00"/>
        <d v="2023-05-23T00:00:00"/>
        <d v="2023-05-11T00:00:00"/>
        <d v="2023-01-26T00:00:00"/>
        <d v="2023-02-10T00:00:00"/>
        <d v="2023-01-03T00:00:00"/>
        <d v="2023-02-27T00:00:00"/>
        <d v="2023-03-09T00:00:00"/>
        <d v="2023-05-02T00:00:00"/>
        <d v="2023-04-18T00:00:00"/>
        <d v="2023-03-06T00:00:00"/>
        <d v="2023-05-24T00:00:00"/>
        <d v="2023-01-23T00:00:00"/>
        <d v="2023-03-10T00:00:00"/>
        <d v="2023-03-28T00:00:00"/>
        <d v="2023-04-25T00:00:00"/>
        <d v="2023-04-24T00:00:00"/>
        <d v="2023-01-25T00:00:00"/>
        <d v="2023-01-12T00:00:00"/>
        <d v="2023-05-09T00:00:00"/>
        <d v="2023-04-27T00:00:00"/>
        <d v="2023-02-04T00:00:00"/>
        <d v="2023-03-24T00:00:00"/>
        <d v="2023-04-17T00:00:00"/>
        <d v="2023-05-01T00:00:00"/>
        <d v="2023-05-21T00:00:00"/>
        <d v="2023-03-15T00:00:00"/>
        <d v="2023-02-01T00:00:00"/>
        <d v="2023-05-04T00:00:00"/>
        <d v="2023-02-28T00:00:00"/>
        <d v="2023-04-10T00:00:00"/>
        <d v="2023-03-21T00:00:00"/>
        <d v="2023-03-30T00:00:00"/>
        <d v="2023-05-25T00:00:00"/>
      </sharedItems>
      <fieldGroup par="10"/>
    </cacheField>
    <cacheField name="Post-Discharge Visit Date" numFmtId="0">
      <sharedItems containsNonDate="0" containsDate="1" containsString="0" containsBlank="1" minDate="2023-01-11T00:00:00" maxDate="2023-06-23T00:00:00"/>
    </cacheField>
    <cacheField name="Readmission Date" numFmtId="0">
      <sharedItems containsNonDate="0" containsDate="1" containsString="0" containsBlank="1" minDate="2023-01-23T00:00:00" maxDate="2023-06-29T00:00:00" count="49">
        <d v="2023-05-06T00:00:00"/>
        <m/>
        <d v="2023-01-23T00:00:00"/>
        <d v="2023-03-24T00:00:00"/>
        <d v="2023-05-31T00:00:00"/>
        <d v="2023-02-25T00:00:00"/>
        <d v="2023-05-08T00:00:00"/>
        <d v="2023-04-15T00:00:00"/>
        <d v="2023-02-08T00:00:00"/>
        <d v="2023-06-28T00:00:00"/>
        <d v="2023-05-18T00:00:00"/>
        <d v="2023-03-05T00:00:00"/>
        <d v="2023-04-21T00:00:00"/>
        <d v="2023-02-12T00:00:00"/>
        <d v="2023-04-20T00:00:00"/>
        <d v="2023-03-31T00:00:00"/>
        <d v="2023-02-03T00:00:00"/>
        <d v="2023-03-15T00:00:00"/>
        <d v="2023-05-29T00:00:00"/>
        <d v="2023-05-12T00:00:00"/>
        <d v="2023-06-25T00:00:00"/>
        <d v="2023-02-04T00:00:00"/>
        <d v="2023-02-18T00:00:00"/>
        <d v="2023-03-08T00:00:00"/>
        <d v="2023-04-17T00:00:00"/>
        <d v="2023-04-24T00:00:00"/>
        <d v="2023-06-04T00:00:00"/>
        <d v="2023-03-01T00:00:00"/>
        <d v="2023-05-20T00:00:00"/>
        <d v="2023-06-09T00:00:00"/>
        <d v="2023-04-22T00:00:00"/>
        <d v="2023-03-20T00:00:00"/>
        <d v="2023-05-26T00:00:00"/>
        <d v="2023-05-07T00:00:00"/>
        <d v="2023-04-08T00:00:00"/>
        <d v="2023-04-13T00:00:00"/>
        <d v="2023-03-03T00:00:00"/>
        <d v="2023-04-12T00:00:00"/>
        <d v="2023-03-12T00:00:00"/>
        <d v="2023-04-10T00:00:00"/>
        <d v="2023-02-16T00:00:00"/>
        <d v="2023-02-17T00:00:00"/>
        <d v="2023-02-09T00:00:00"/>
        <d v="2023-03-28T00:00:00"/>
        <d v="2023-05-16T00:00:00"/>
        <d v="2023-05-13T00:00:00"/>
        <d v="2023-04-27T00:00:00"/>
        <d v="2023-06-01T00:00:00"/>
        <d v="2023-03-17T00:00:00"/>
      </sharedItems>
    </cacheField>
    <cacheField name="Readmission Discharge Date" numFmtId="0">
      <sharedItems containsNonDate="0" containsDate="1" containsString="0" containsBlank="1" minDate="2023-01-25T00:00:00" maxDate="2023-07-05T00:00:00"/>
    </cacheField>
    <cacheField name="PDV Completed " numFmtId="0">
      <sharedItems containsSemiMixedTypes="0" containsString="0" containsNumber="1" containsInteger="1" minValue="0" maxValue="1"/>
    </cacheField>
    <cacheField name="Days (Discharge Date 1)" numFmtId="0" databaseField="0">
      <fieldGroup base="4">
        <rangePr groupBy="days" startDate="2023-01-03T00:00:00" endDate="2023-06-03T00:00:00"/>
        <groupItems count="368">
          <s v="&lt;1/3/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3/23"/>
        </groupItems>
      </fieldGroup>
    </cacheField>
    <cacheField name="Months (Discharge Date 1)" numFmtId="0" databaseField="0">
      <fieldGroup base="4">
        <rangePr groupBy="months" startDate="2023-01-03T00:00:00" endDate="2023-06-03T00:00:00"/>
        <groupItems count="14">
          <s v="&lt;1/3/23"/>
          <s v="Jan"/>
          <s v="Feb"/>
          <s v="Mar"/>
          <s v="Apr"/>
          <s v="May"/>
          <s v="Jun"/>
          <s v="Jul"/>
          <s v="Aug"/>
          <s v="Sep"/>
          <s v="Oct"/>
          <s v="Nov"/>
          <s v="Dec"/>
          <s v="&gt;6/3/23"/>
        </groupItems>
      </fieldGroup>
    </cacheField>
  </cacheFields>
  <extLst>
    <ext xmlns:x14="http://schemas.microsoft.com/office/spreadsheetml/2009/9/main" uri="{725AE2AE-9491-48be-B2B4-4EB974FC3084}">
      <x14:pivotCacheDefinition pivotCacheId="9695298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79"/>
    <n v="71"/>
    <n v="0.89870000000000005"/>
    <n v="11"/>
    <n v="11"/>
    <n v="0.14000000000000001"/>
    <n v="7"/>
    <n v="0.64"/>
    <n v="0.36"/>
  </r>
  <r>
    <x v="1"/>
    <n v="65"/>
    <n v="60"/>
    <n v="0.92310000000000003"/>
    <n v="13"/>
    <n v="14"/>
    <n v="0.22"/>
    <n v="14"/>
    <n v="0.86"/>
    <n v="0.14000000000000001"/>
  </r>
  <r>
    <x v="2"/>
    <n v="64"/>
    <n v="55"/>
    <n v="0.85940000000000005"/>
    <n v="10"/>
    <n v="10"/>
    <n v="0.16"/>
    <n v="8"/>
    <n v="0.8"/>
    <n v="0.2"/>
  </r>
  <r>
    <x v="3"/>
    <n v="41"/>
    <n v="30"/>
    <n v="0.73170000000000002"/>
    <n v="12"/>
    <n v="10"/>
    <n v="0.24"/>
    <n v="3"/>
    <n v="0.3"/>
    <n v="0.7"/>
  </r>
  <r>
    <x v="4"/>
    <n v="51"/>
    <n v="43"/>
    <n v="0.84309999999999996"/>
    <n v="14"/>
    <n v="11"/>
    <n v="0.22"/>
    <n v="8"/>
    <n v="0.73"/>
    <n v="0.2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65"/>
    <n v="0.86"/>
    <n v="13"/>
    <n v="0.22"/>
    <n v="0.15"/>
    <n v="0.75"/>
  </r>
  <r>
    <x v="1"/>
    <n v="64"/>
    <n v="0.8"/>
    <n v="10"/>
    <n v="0.18"/>
    <n v="0.2"/>
    <n v="0.8"/>
  </r>
  <r>
    <x v="2"/>
    <n v="51"/>
    <n v="0.73"/>
    <n v="14"/>
    <n v="0.22"/>
    <n v="0.25"/>
    <n v="0.7"/>
  </r>
  <r>
    <x v="3"/>
    <n v="79"/>
    <n v="0.64"/>
    <n v="11"/>
    <n v="0.14000000000000001"/>
    <n v="0.35"/>
    <n v="0.65"/>
  </r>
  <r>
    <x v="4"/>
    <n v="41"/>
    <n v="0.3"/>
    <n v="12"/>
    <n v="0.24"/>
    <n v="0.7"/>
    <n v="0.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n v="24445"/>
    <x v="0"/>
    <d v="2023-04-16T00:00:00"/>
    <x v="0"/>
    <m/>
    <x v="0"/>
    <d v="2023-05-10T00:00:00"/>
    <n v="0"/>
  </r>
  <r>
    <n v="2"/>
    <n v="28166"/>
    <x v="0"/>
    <d v="2023-02-14T00:00:00"/>
    <x v="1"/>
    <d v="2023-02-24T00:00:00"/>
    <x v="1"/>
    <m/>
    <n v="1"/>
  </r>
  <r>
    <n v="3"/>
    <n v="13851"/>
    <x v="1"/>
    <d v="2023-01-06T00:00:00"/>
    <x v="2"/>
    <d v="2023-01-15T00:00:00"/>
    <x v="2"/>
    <d v="2023-01-25T00:00:00"/>
    <n v="1"/>
  </r>
  <r>
    <n v="4"/>
    <n v="24108"/>
    <x v="2"/>
    <d v="2023-03-14T00:00:00"/>
    <x v="3"/>
    <m/>
    <x v="3"/>
    <d v="2023-03-30T00:00:00"/>
    <n v="0"/>
  </r>
  <r>
    <n v="5"/>
    <n v="13091"/>
    <x v="0"/>
    <d v="2023-03-12T00:00:00"/>
    <x v="4"/>
    <d v="2023-04-03T00:00:00"/>
    <x v="1"/>
    <m/>
    <n v="1"/>
  </r>
  <r>
    <n v="6"/>
    <n v="13422"/>
    <x v="0"/>
    <d v="2023-03-10T00:00:00"/>
    <x v="5"/>
    <d v="2023-03-30T00:00:00"/>
    <x v="1"/>
    <m/>
    <n v="1"/>
  </r>
  <r>
    <n v="7"/>
    <n v="20341"/>
    <x v="1"/>
    <d v="2023-05-28T00:00:00"/>
    <x v="6"/>
    <d v="2023-06-16T00:00:00"/>
    <x v="1"/>
    <m/>
    <n v="1"/>
  </r>
  <r>
    <n v="8"/>
    <n v="18925"/>
    <x v="2"/>
    <d v="2023-05-10T00:00:00"/>
    <x v="7"/>
    <m/>
    <x v="4"/>
    <d v="2023-06-07T00:00:00"/>
    <n v="0"/>
  </r>
  <r>
    <n v="9"/>
    <n v="11715"/>
    <x v="1"/>
    <d v="2023-01-19T00:00:00"/>
    <x v="8"/>
    <d v="2023-02-13T00:00:00"/>
    <x v="1"/>
    <m/>
    <n v="1"/>
  </r>
  <r>
    <n v="10"/>
    <n v="16677"/>
    <x v="1"/>
    <d v="2023-01-03T00:00:00"/>
    <x v="9"/>
    <d v="2023-01-19T00:00:00"/>
    <x v="1"/>
    <m/>
    <n v="1"/>
  </r>
  <r>
    <n v="11"/>
    <n v="14020"/>
    <x v="3"/>
    <d v="2023-01-24T00:00:00"/>
    <x v="10"/>
    <d v="2023-02-15T00:00:00"/>
    <x v="5"/>
    <d v="2023-03-01T00:00:00"/>
    <n v="1"/>
  </r>
  <r>
    <n v="12"/>
    <n v="29818"/>
    <x v="2"/>
    <d v="2023-04-11T00:00:00"/>
    <x v="11"/>
    <d v="2023-04-19T00:00:00"/>
    <x v="1"/>
    <m/>
    <n v="1"/>
  </r>
  <r>
    <n v="13"/>
    <n v="26981"/>
    <x v="2"/>
    <d v="2023-02-18T00:00:00"/>
    <x v="12"/>
    <d v="2023-02-25T00:00:00"/>
    <x v="1"/>
    <m/>
    <n v="1"/>
  </r>
  <r>
    <n v="14"/>
    <n v="21200"/>
    <x v="4"/>
    <d v="2023-04-22T00:00:00"/>
    <x v="13"/>
    <m/>
    <x v="6"/>
    <d v="2023-05-14T00:00:00"/>
    <n v="0"/>
  </r>
  <r>
    <n v="15"/>
    <n v="16967"/>
    <x v="2"/>
    <d v="2023-04-03T00:00:00"/>
    <x v="14"/>
    <d v="2023-04-11T00:00:00"/>
    <x v="1"/>
    <m/>
    <n v="1"/>
  </r>
  <r>
    <n v="16"/>
    <n v="21664"/>
    <x v="3"/>
    <d v="2023-03-25T00:00:00"/>
    <x v="15"/>
    <d v="2023-04-04T00:00:00"/>
    <x v="7"/>
    <d v="2023-04-19T00:00:00"/>
    <n v="1"/>
  </r>
  <r>
    <n v="17"/>
    <n v="11317"/>
    <x v="1"/>
    <d v="2023-02-12T00:00:00"/>
    <x v="16"/>
    <d v="2023-03-03T00:00:00"/>
    <x v="1"/>
    <m/>
    <n v="1"/>
  </r>
  <r>
    <n v="18"/>
    <n v="28774"/>
    <x v="1"/>
    <d v="2023-05-12T00:00:00"/>
    <x v="17"/>
    <d v="2023-05-17T00:00:00"/>
    <x v="1"/>
    <m/>
    <n v="1"/>
  </r>
  <r>
    <n v="19"/>
    <n v="24379"/>
    <x v="4"/>
    <d v="2023-04-04T00:00:00"/>
    <x v="18"/>
    <d v="2023-04-22T00:00:00"/>
    <x v="1"/>
    <m/>
    <n v="1"/>
  </r>
  <r>
    <n v="20"/>
    <n v="12402"/>
    <x v="4"/>
    <d v="2023-04-09T00:00:00"/>
    <x v="19"/>
    <m/>
    <x v="1"/>
    <m/>
    <n v="0"/>
  </r>
  <r>
    <n v="21"/>
    <n v="16617"/>
    <x v="1"/>
    <d v="2023-01-13T00:00:00"/>
    <x v="20"/>
    <d v="2023-01-21T00:00:00"/>
    <x v="1"/>
    <m/>
    <n v="1"/>
  </r>
  <r>
    <n v="22"/>
    <n v="16902"/>
    <x v="4"/>
    <d v="2023-04-06T00:00:00"/>
    <x v="21"/>
    <d v="2023-04-12T00:00:00"/>
    <x v="1"/>
    <m/>
    <n v="1"/>
  </r>
  <r>
    <n v="23"/>
    <n v="19651"/>
    <x v="4"/>
    <d v="2023-05-17T00:00:00"/>
    <x v="17"/>
    <d v="2023-06-03T00:00:00"/>
    <x v="1"/>
    <m/>
    <n v="1"/>
  </r>
  <r>
    <n v="24"/>
    <n v="13108"/>
    <x v="3"/>
    <d v="2023-01-06T00:00:00"/>
    <x v="22"/>
    <m/>
    <x v="8"/>
    <d v="2023-02-12T00:00:00"/>
    <n v="0"/>
  </r>
  <r>
    <n v="25"/>
    <n v="11502"/>
    <x v="1"/>
    <d v="2023-04-07T00:00:00"/>
    <x v="23"/>
    <d v="2023-04-11T00:00:00"/>
    <x v="1"/>
    <m/>
    <n v="1"/>
  </r>
  <r>
    <n v="26"/>
    <n v="15976"/>
    <x v="1"/>
    <d v="2023-01-05T00:00:00"/>
    <x v="24"/>
    <d v="2023-01-29T00:00:00"/>
    <x v="1"/>
    <m/>
    <n v="1"/>
  </r>
  <r>
    <n v="27"/>
    <n v="25502"/>
    <x v="2"/>
    <d v="2023-02-10T00:00:00"/>
    <x v="25"/>
    <d v="2023-02-13T00:00:00"/>
    <x v="1"/>
    <m/>
    <n v="1"/>
  </r>
  <r>
    <n v="28"/>
    <n v="22550"/>
    <x v="1"/>
    <d v="2023-03-01T00:00:00"/>
    <x v="26"/>
    <d v="2023-03-19T00:00:00"/>
    <x v="1"/>
    <m/>
    <n v="1"/>
  </r>
  <r>
    <n v="29"/>
    <n v="16944"/>
    <x v="3"/>
    <d v="2023-04-26T00:00:00"/>
    <x v="27"/>
    <d v="2023-05-07T00:00:00"/>
    <x v="1"/>
    <m/>
    <n v="1"/>
  </r>
  <r>
    <n v="30"/>
    <n v="18794"/>
    <x v="1"/>
    <d v="2023-04-10T00:00:00"/>
    <x v="11"/>
    <d v="2023-05-02T00:00:00"/>
    <x v="1"/>
    <m/>
    <n v="1"/>
  </r>
  <r>
    <n v="31"/>
    <n v="17978"/>
    <x v="1"/>
    <d v="2023-01-11T00:00:00"/>
    <x v="28"/>
    <d v="2023-01-17T00:00:00"/>
    <x v="1"/>
    <m/>
    <n v="1"/>
  </r>
  <r>
    <n v="32"/>
    <n v="14926"/>
    <x v="2"/>
    <d v="2023-01-17T00:00:00"/>
    <x v="8"/>
    <d v="2023-02-14T00:00:00"/>
    <x v="1"/>
    <m/>
    <n v="1"/>
  </r>
  <r>
    <n v="33"/>
    <n v="28521"/>
    <x v="1"/>
    <d v="2023-05-24T00:00:00"/>
    <x v="29"/>
    <m/>
    <x v="9"/>
    <d v="2023-07-04T00:00:00"/>
    <n v="0"/>
  </r>
  <r>
    <n v="34"/>
    <n v="27273"/>
    <x v="3"/>
    <d v="2023-04-08T00:00:00"/>
    <x v="30"/>
    <d v="2023-04-22T00:00:00"/>
    <x v="1"/>
    <m/>
    <n v="1"/>
  </r>
  <r>
    <n v="35"/>
    <n v="17448"/>
    <x v="4"/>
    <d v="2023-05-05T00:00:00"/>
    <x v="31"/>
    <d v="2023-05-09T00:00:00"/>
    <x v="1"/>
    <m/>
    <n v="1"/>
  </r>
  <r>
    <n v="36"/>
    <n v="19842"/>
    <x v="4"/>
    <d v="2023-01-10T00:00:00"/>
    <x v="22"/>
    <m/>
    <x v="1"/>
    <m/>
    <n v="0"/>
  </r>
  <r>
    <n v="37"/>
    <n v="12945"/>
    <x v="2"/>
    <d v="2023-05-11T00:00:00"/>
    <x v="32"/>
    <d v="2023-05-14T00:00:00"/>
    <x v="1"/>
    <m/>
    <n v="1"/>
  </r>
  <r>
    <n v="38"/>
    <n v="16361"/>
    <x v="2"/>
    <d v="2023-03-15T00:00:00"/>
    <x v="4"/>
    <d v="2023-03-24T00:00:00"/>
    <x v="1"/>
    <m/>
    <n v="1"/>
  </r>
  <r>
    <n v="39"/>
    <n v="19470"/>
    <x v="4"/>
    <d v="2023-05-14T00:00:00"/>
    <x v="33"/>
    <d v="2023-05-28T00:00:00"/>
    <x v="1"/>
    <m/>
    <n v="1"/>
  </r>
  <r>
    <n v="40"/>
    <n v="11452"/>
    <x v="3"/>
    <d v="2023-01-29T00:00:00"/>
    <x v="34"/>
    <d v="2023-02-18T00:00:00"/>
    <x v="1"/>
    <m/>
    <n v="1"/>
  </r>
  <r>
    <n v="41"/>
    <n v="12466"/>
    <x v="4"/>
    <d v="2023-05-14T00:00:00"/>
    <x v="17"/>
    <d v="2023-05-30T00:00:00"/>
    <x v="1"/>
    <m/>
    <n v="1"/>
  </r>
  <r>
    <n v="42"/>
    <n v="23402"/>
    <x v="3"/>
    <d v="2023-04-15T00:00:00"/>
    <x v="35"/>
    <d v="2023-04-20T00:00:00"/>
    <x v="1"/>
    <m/>
    <n v="1"/>
  </r>
  <r>
    <n v="43"/>
    <n v="13965"/>
    <x v="3"/>
    <d v="2023-03-30T00:00:00"/>
    <x v="36"/>
    <d v="2023-04-02T00:00:00"/>
    <x v="1"/>
    <m/>
    <n v="1"/>
  </r>
  <r>
    <n v="44"/>
    <n v="29719"/>
    <x v="4"/>
    <d v="2023-02-07T00:00:00"/>
    <x v="16"/>
    <d v="2023-02-23T00:00:00"/>
    <x v="1"/>
    <m/>
    <n v="1"/>
  </r>
  <r>
    <n v="45"/>
    <n v="25733"/>
    <x v="4"/>
    <d v="2023-05-18T00:00:00"/>
    <x v="37"/>
    <m/>
    <x v="1"/>
    <m/>
    <n v="0"/>
  </r>
  <r>
    <n v="46"/>
    <n v="26071"/>
    <x v="4"/>
    <d v="2023-03-28T00:00:00"/>
    <x v="38"/>
    <d v="2023-04-08T00:00:00"/>
    <x v="1"/>
    <m/>
    <n v="1"/>
  </r>
  <r>
    <n v="47"/>
    <n v="21931"/>
    <x v="3"/>
    <d v="2023-02-17T00:00:00"/>
    <x v="39"/>
    <d v="2023-03-12T00:00:00"/>
    <x v="1"/>
    <m/>
    <n v="1"/>
  </r>
  <r>
    <n v="48"/>
    <n v="17913"/>
    <x v="3"/>
    <d v="2023-02-22T00:00:00"/>
    <x v="40"/>
    <m/>
    <x v="1"/>
    <m/>
    <n v="0"/>
  </r>
  <r>
    <n v="49"/>
    <n v="24930"/>
    <x v="1"/>
    <d v="2023-02-19T00:00:00"/>
    <x v="41"/>
    <d v="2023-03-03T00:00:00"/>
    <x v="1"/>
    <m/>
    <n v="1"/>
  </r>
  <r>
    <n v="50"/>
    <n v="16645"/>
    <x v="1"/>
    <d v="2023-02-09T00:00:00"/>
    <x v="42"/>
    <d v="2023-02-13T00:00:00"/>
    <x v="1"/>
    <m/>
    <n v="1"/>
  </r>
  <r>
    <n v="51"/>
    <n v="12767"/>
    <x v="2"/>
    <d v="2023-04-24T00:00:00"/>
    <x v="43"/>
    <d v="2023-05-14T00:00:00"/>
    <x v="1"/>
    <m/>
    <n v="1"/>
  </r>
  <r>
    <n v="52"/>
    <n v="27521"/>
    <x v="1"/>
    <d v="2023-04-20T00:00:00"/>
    <x v="27"/>
    <d v="2023-05-04T00:00:00"/>
    <x v="1"/>
    <m/>
    <n v="1"/>
  </r>
  <r>
    <n v="53"/>
    <n v="14400"/>
    <x v="4"/>
    <d v="2023-03-10T00:00:00"/>
    <x v="44"/>
    <d v="2023-03-21T00:00:00"/>
    <x v="1"/>
    <m/>
    <n v="1"/>
  </r>
  <r>
    <n v="54"/>
    <n v="18180"/>
    <x v="3"/>
    <d v="2023-02-09T00:00:00"/>
    <x v="25"/>
    <d v="2023-03-07T00:00:00"/>
    <x v="1"/>
    <m/>
    <n v="1"/>
  </r>
  <r>
    <n v="55"/>
    <n v="10939"/>
    <x v="1"/>
    <d v="2023-05-10T00:00:00"/>
    <x v="32"/>
    <d v="2023-05-14T00:00:00"/>
    <x v="1"/>
    <m/>
    <n v="1"/>
  </r>
  <r>
    <n v="56"/>
    <n v="24721"/>
    <x v="3"/>
    <d v="2023-05-16T00:00:00"/>
    <x v="45"/>
    <d v="2023-05-22T00:00:00"/>
    <x v="1"/>
    <m/>
    <n v="1"/>
  </r>
  <r>
    <n v="57"/>
    <n v="18734"/>
    <x v="1"/>
    <d v="2023-03-03T00:00:00"/>
    <x v="46"/>
    <d v="2023-03-16T00:00:00"/>
    <x v="1"/>
    <m/>
    <n v="1"/>
  </r>
  <r>
    <n v="58"/>
    <n v="24781"/>
    <x v="4"/>
    <d v="2023-05-17T00:00:00"/>
    <x v="17"/>
    <m/>
    <x v="1"/>
    <m/>
    <n v="0"/>
  </r>
  <r>
    <n v="59"/>
    <n v="10932"/>
    <x v="1"/>
    <d v="2023-05-24T00:00:00"/>
    <x v="47"/>
    <d v="2023-06-10T00:00:00"/>
    <x v="1"/>
    <m/>
    <n v="1"/>
  </r>
  <r>
    <n v="60"/>
    <n v="23432"/>
    <x v="1"/>
    <d v="2023-05-23T00:00:00"/>
    <x v="48"/>
    <d v="2023-06-02T00:00:00"/>
    <x v="1"/>
    <m/>
    <n v="1"/>
  </r>
  <r>
    <n v="61"/>
    <n v="10196"/>
    <x v="2"/>
    <d v="2023-03-22T00:00:00"/>
    <x v="49"/>
    <d v="2023-03-24T00:00:00"/>
    <x v="1"/>
    <m/>
    <n v="1"/>
  </r>
  <r>
    <n v="62"/>
    <n v="28549"/>
    <x v="3"/>
    <d v="2023-03-20T00:00:00"/>
    <x v="50"/>
    <d v="2023-04-13T00:00:00"/>
    <x v="1"/>
    <m/>
    <n v="1"/>
  </r>
  <r>
    <n v="63"/>
    <n v="15391"/>
    <x v="4"/>
    <d v="2023-04-27T00:00:00"/>
    <x v="43"/>
    <d v="2023-05-02T00:00:00"/>
    <x v="1"/>
    <m/>
    <n v="1"/>
  </r>
  <r>
    <n v="64"/>
    <n v="11359"/>
    <x v="3"/>
    <d v="2023-02-27T00:00:00"/>
    <x v="46"/>
    <d v="2023-03-08T00:00:00"/>
    <x v="1"/>
    <m/>
    <n v="1"/>
  </r>
  <r>
    <n v="65"/>
    <n v="20052"/>
    <x v="3"/>
    <d v="2023-05-05T00:00:00"/>
    <x v="51"/>
    <d v="2023-05-15T00:00:00"/>
    <x v="1"/>
    <m/>
    <n v="1"/>
  </r>
  <r>
    <n v="66"/>
    <n v="28839"/>
    <x v="3"/>
    <d v="2023-04-27T00:00:00"/>
    <x v="52"/>
    <d v="2023-05-11T00:00:00"/>
    <x v="1"/>
    <m/>
    <n v="1"/>
  </r>
  <r>
    <n v="67"/>
    <n v="18995"/>
    <x v="3"/>
    <d v="2023-02-20T00:00:00"/>
    <x v="53"/>
    <d v="2023-02-27T00:00:00"/>
    <x v="1"/>
    <m/>
    <n v="1"/>
  </r>
  <r>
    <n v="68"/>
    <n v="24201"/>
    <x v="2"/>
    <d v="2023-02-20T00:00:00"/>
    <x v="54"/>
    <d v="2023-03-23T00:00:00"/>
    <x v="1"/>
    <m/>
    <n v="1"/>
  </r>
  <r>
    <n v="69"/>
    <n v="29564"/>
    <x v="3"/>
    <d v="2023-03-09T00:00:00"/>
    <x v="44"/>
    <d v="2023-03-24T00:00:00"/>
    <x v="1"/>
    <m/>
    <n v="1"/>
  </r>
  <r>
    <n v="70"/>
    <n v="28949"/>
    <x v="3"/>
    <d v="2023-04-06T00:00:00"/>
    <x v="18"/>
    <d v="2023-04-26T00:00:00"/>
    <x v="1"/>
    <m/>
    <n v="1"/>
  </r>
  <r>
    <n v="71"/>
    <n v="29380"/>
    <x v="2"/>
    <d v="2023-04-14T00:00:00"/>
    <x v="35"/>
    <d v="2023-05-02T00:00:00"/>
    <x v="1"/>
    <m/>
    <n v="1"/>
  </r>
  <r>
    <n v="72"/>
    <n v="12028"/>
    <x v="1"/>
    <d v="2023-03-29T00:00:00"/>
    <x v="14"/>
    <m/>
    <x v="1"/>
    <m/>
    <n v="0"/>
  </r>
  <r>
    <n v="73"/>
    <n v="27071"/>
    <x v="1"/>
    <d v="2023-01-22T00:00:00"/>
    <x v="55"/>
    <d v="2023-02-04T00:00:00"/>
    <x v="1"/>
    <m/>
    <n v="1"/>
  </r>
  <r>
    <n v="74"/>
    <n v="20460"/>
    <x v="1"/>
    <d v="2023-04-18T00:00:00"/>
    <x v="56"/>
    <d v="2023-04-26T00:00:00"/>
    <x v="10"/>
    <d v="2023-05-22T00:00:00"/>
    <n v="1"/>
  </r>
  <r>
    <n v="75"/>
    <n v="17260"/>
    <x v="2"/>
    <d v="2023-01-15T00:00:00"/>
    <x v="57"/>
    <d v="2023-02-08T00:00:00"/>
    <x v="1"/>
    <m/>
    <n v="1"/>
  </r>
  <r>
    <n v="76"/>
    <n v="23440"/>
    <x v="4"/>
    <d v="2023-02-16T00:00:00"/>
    <x v="39"/>
    <d v="2023-03-01T00:00:00"/>
    <x v="1"/>
    <m/>
    <n v="1"/>
  </r>
  <r>
    <n v="77"/>
    <n v="23936"/>
    <x v="2"/>
    <d v="2023-02-23T00:00:00"/>
    <x v="54"/>
    <d v="2023-02-27T00:00:00"/>
    <x v="11"/>
    <d v="2023-03-08T00:00:00"/>
    <n v="1"/>
  </r>
  <r>
    <n v="78"/>
    <n v="28080"/>
    <x v="2"/>
    <d v="2023-03-21T00:00:00"/>
    <x v="58"/>
    <d v="2023-03-27T00:00:00"/>
    <x v="12"/>
    <d v="2023-04-25T00:00:00"/>
    <n v="1"/>
  </r>
  <r>
    <n v="79"/>
    <n v="17466"/>
    <x v="4"/>
    <d v="2023-03-30T00:00:00"/>
    <x v="59"/>
    <d v="2023-04-08T00:00:00"/>
    <x v="1"/>
    <m/>
    <n v="1"/>
  </r>
  <r>
    <n v="80"/>
    <n v="14196"/>
    <x v="2"/>
    <d v="2023-02-06T00:00:00"/>
    <x v="60"/>
    <d v="2023-02-12T00:00:00"/>
    <x v="13"/>
    <d v="2023-02-15T00:00:00"/>
    <n v="1"/>
  </r>
  <r>
    <n v="81"/>
    <n v="15924"/>
    <x v="3"/>
    <d v="2023-05-12T00:00:00"/>
    <x v="61"/>
    <m/>
    <x v="1"/>
    <m/>
    <n v="0"/>
  </r>
  <r>
    <n v="82"/>
    <n v="27202"/>
    <x v="4"/>
    <d v="2023-05-14T00:00:00"/>
    <x v="33"/>
    <d v="2023-05-26T00:00:00"/>
    <x v="4"/>
    <d v="2023-06-04T00:00:00"/>
    <n v="1"/>
  </r>
  <r>
    <n v="83"/>
    <n v="29930"/>
    <x v="3"/>
    <d v="2023-03-23T00:00:00"/>
    <x v="15"/>
    <m/>
    <x v="14"/>
    <d v="2023-04-21T00:00:00"/>
    <n v="0"/>
  </r>
  <r>
    <n v="84"/>
    <n v="21446"/>
    <x v="2"/>
    <d v="2023-03-10T00:00:00"/>
    <x v="44"/>
    <d v="2023-03-27T00:00:00"/>
    <x v="15"/>
    <d v="2023-04-06T00:00:00"/>
    <n v="1"/>
  </r>
  <r>
    <n v="85"/>
    <n v="27148"/>
    <x v="2"/>
    <d v="2023-01-24T00:00:00"/>
    <x v="55"/>
    <d v="2023-01-30T00:00:00"/>
    <x v="16"/>
    <d v="2023-02-10T00:00:00"/>
    <n v="1"/>
  </r>
  <r>
    <n v="86"/>
    <n v="16372"/>
    <x v="1"/>
    <d v="2023-02-13T00:00:00"/>
    <x v="62"/>
    <d v="2023-03-10T00:00:00"/>
    <x v="1"/>
    <m/>
    <n v="1"/>
  </r>
  <r>
    <n v="87"/>
    <n v="28015"/>
    <x v="1"/>
    <d v="2023-04-25T00:00:00"/>
    <x v="63"/>
    <d v="2023-05-06T00:00:00"/>
    <x v="1"/>
    <m/>
    <n v="1"/>
  </r>
  <r>
    <n v="88"/>
    <n v="24568"/>
    <x v="1"/>
    <d v="2023-04-22T00:00:00"/>
    <x v="56"/>
    <d v="2023-05-07T00:00:00"/>
    <x v="1"/>
    <m/>
    <n v="1"/>
  </r>
  <r>
    <n v="89"/>
    <n v="20801"/>
    <x v="1"/>
    <d v="2023-04-09T00:00:00"/>
    <x v="11"/>
    <d v="2023-05-06T00:00:00"/>
    <x v="1"/>
    <m/>
    <n v="1"/>
  </r>
  <r>
    <n v="90"/>
    <n v="24423"/>
    <x v="4"/>
    <d v="2023-01-03T00:00:00"/>
    <x v="64"/>
    <m/>
    <x v="1"/>
    <m/>
    <n v="0"/>
  </r>
  <r>
    <n v="91"/>
    <n v="16376"/>
    <x v="1"/>
    <d v="2023-03-08T00:00:00"/>
    <x v="65"/>
    <d v="2023-03-21T00:00:00"/>
    <x v="1"/>
    <m/>
    <n v="1"/>
  </r>
  <r>
    <n v="92"/>
    <n v="25488"/>
    <x v="2"/>
    <d v="2023-05-22T00:00:00"/>
    <x v="66"/>
    <d v="2023-05-29T00:00:00"/>
    <x v="1"/>
    <m/>
    <n v="1"/>
  </r>
  <r>
    <n v="93"/>
    <n v="13734"/>
    <x v="2"/>
    <d v="2023-03-13T00:00:00"/>
    <x v="5"/>
    <d v="2023-03-23T00:00:00"/>
    <x v="1"/>
    <m/>
    <n v="1"/>
  </r>
  <r>
    <n v="94"/>
    <n v="11621"/>
    <x v="2"/>
    <d v="2023-01-04T00:00:00"/>
    <x v="67"/>
    <d v="2023-01-20T00:00:00"/>
    <x v="1"/>
    <m/>
    <n v="1"/>
  </r>
  <r>
    <n v="95"/>
    <n v="18850"/>
    <x v="1"/>
    <d v="2023-01-29T00:00:00"/>
    <x v="68"/>
    <m/>
    <x v="1"/>
    <m/>
    <n v="0"/>
  </r>
  <r>
    <n v="96"/>
    <n v="25324"/>
    <x v="1"/>
    <d v="2023-05-27T00:00:00"/>
    <x v="6"/>
    <d v="2023-06-15T00:00:00"/>
    <x v="1"/>
    <m/>
    <n v="1"/>
  </r>
  <r>
    <n v="97"/>
    <n v="12031"/>
    <x v="2"/>
    <d v="2023-03-26T00:00:00"/>
    <x v="69"/>
    <d v="2023-04-13T00:00:00"/>
    <x v="1"/>
    <m/>
    <n v="1"/>
  </r>
  <r>
    <n v="98"/>
    <n v="22403"/>
    <x v="1"/>
    <d v="2023-01-17T00:00:00"/>
    <x v="70"/>
    <d v="2023-01-28T00:00:00"/>
    <x v="1"/>
    <m/>
    <n v="1"/>
  </r>
  <r>
    <n v="99"/>
    <n v="28681"/>
    <x v="2"/>
    <d v="2023-05-11T00:00:00"/>
    <x v="17"/>
    <d v="2023-06-03T00:00:00"/>
    <x v="1"/>
    <m/>
    <n v="1"/>
  </r>
  <r>
    <n v="100"/>
    <n v="15558"/>
    <x v="1"/>
    <d v="2023-01-26T00:00:00"/>
    <x v="10"/>
    <d v="2023-02-08T00:00:00"/>
    <x v="1"/>
    <m/>
    <n v="1"/>
  </r>
  <r>
    <n v="101"/>
    <n v="13579"/>
    <x v="2"/>
    <d v="2023-03-03T00:00:00"/>
    <x v="71"/>
    <d v="2023-03-23T00:00:00"/>
    <x v="1"/>
    <m/>
    <n v="1"/>
  </r>
  <r>
    <n v="102"/>
    <n v="28214"/>
    <x v="0"/>
    <d v="2023-03-20T00:00:00"/>
    <x v="15"/>
    <d v="2023-04-16T00:00:00"/>
    <x v="1"/>
    <m/>
    <n v="1"/>
  </r>
  <r>
    <n v="103"/>
    <n v="27845"/>
    <x v="4"/>
    <d v="2023-02-06T00:00:00"/>
    <x v="72"/>
    <d v="2023-02-07T00:00:00"/>
    <x v="1"/>
    <m/>
    <n v="1"/>
  </r>
  <r>
    <n v="104"/>
    <n v="22338"/>
    <x v="0"/>
    <d v="2023-04-14T00:00:00"/>
    <x v="19"/>
    <m/>
    <x v="1"/>
    <m/>
    <n v="0"/>
  </r>
  <r>
    <n v="105"/>
    <n v="17847"/>
    <x v="4"/>
    <d v="2023-02-20T00:00:00"/>
    <x v="73"/>
    <d v="2023-03-05T00:00:00"/>
    <x v="1"/>
    <m/>
    <n v="1"/>
  </r>
  <r>
    <n v="106"/>
    <n v="16239"/>
    <x v="2"/>
    <d v="2023-01-05T00:00:00"/>
    <x v="24"/>
    <d v="2023-01-22T00:00:00"/>
    <x v="1"/>
    <m/>
    <n v="1"/>
  </r>
  <r>
    <n v="107"/>
    <n v="27642"/>
    <x v="1"/>
    <d v="2023-02-14T00:00:00"/>
    <x v="53"/>
    <d v="2023-03-02T00:00:00"/>
    <x v="1"/>
    <m/>
    <n v="1"/>
  </r>
  <r>
    <n v="108"/>
    <n v="23129"/>
    <x v="1"/>
    <d v="2023-02-12T00:00:00"/>
    <x v="16"/>
    <d v="2023-02-15T00:00:00"/>
    <x v="17"/>
    <d v="2023-03-21T00:00:00"/>
    <n v="1"/>
  </r>
  <r>
    <n v="109"/>
    <n v="14066"/>
    <x v="0"/>
    <d v="2023-04-25T00:00:00"/>
    <x v="52"/>
    <d v="2023-05-18T00:00:00"/>
    <x v="1"/>
    <m/>
    <n v="1"/>
  </r>
  <r>
    <n v="110"/>
    <n v="23237"/>
    <x v="4"/>
    <d v="2023-01-31T00:00:00"/>
    <x v="74"/>
    <m/>
    <x v="1"/>
    <m/>
    <n v="0"/>
  </r>
  <r>
    <n v="111"/>
    <n v="23857"/>
    <x v="3"/>
    <d v="2023-03-14T00:00:00"/>
    <x v="75"/>
    <d v="2023-03-27T00:00:00"/>
    <x v="15"/>
    <d v="2023-04-05T00:00:00"/>
    <n v="1"/>
  </r>
  <r>
    <n v="112"/>
    <n v="13034"/>
    <x v="1"/>
    <d v="2023-05-06T00:00:00"/>
    <x v="76"/>
    <m/>
    <x v="18"/>
    <d v="2023-06-05T00:00:00"/>
    <n v="0"/>
  </r>
  <r>
    <n v="113"/>
    <n v="22854"/>
    <x v="1"/>
    <d v="2023-05-29T00:00:00"/>
    <x v="77"/>
    <d v="2023-06-22T00:00:00"/>
    <x v="1"/>
    <m/>
    <n v="1"/>
  </r>
  <r>
    <n v="114"/>
    <n v="28465"/>
    <x v="2"/>
    <d v="2023-02-13T00:00:00"/>
    <x v="78"/>
    <d v="2023-03-05T00:00:00"/>
    <x v="1"/>
    <m/>
    <n v="1"/>
  </r>
  <r>
    <n v="115"/>
    <n v="16495"/>
    <x v="1"/>
    <d v="2023-05-15T00:00:00"/>
    <x v="79"/>
    <d v="2023-05-30T00:00:00"/>
    <x v="1"/>
    <m/>
    <n v="1"/>
  </r>
  <r>
    <n v="116"/>
    <n v="18163"/>
    <x v="0"/>
    <d v="2023-01-28T00:00:00"/>
    <x v="34"/>
    <m/>
    <x v="1"/>
    <m/>
    <n v="0"/>
  </r>
  <r>
    <n v="117"/>
    <n v="26468"/>
    <x v="4"/>
    <d v="2023-05-14T00:00:00"/>
    <x v="80"/>
    <d v="2023-05-29T00:00:00"/>
    <x v="1"/>
    <m/>
    <n v="1"/>
  </r>
  <r>
    <n v="118"/>
    <n v="28242"/>
    <x v="3"/>
    <d v="2023-01-06T00:00:00"/>
    <x v="22"/>
    <d v="2023-01-25T00:00:00"/>
    <x v="1"/>
    <m/>
    <n v="1"/>
  </r>
  <r>
    <n v="119"/>
    <n v="15375"/>
    <x v="1"/>
    <d v="2023-02-25T00:00:00"/>
    <x v="81"/>
    <d v="2023-03-05T00:00:00"/>
    <x v="1"/>
    <m/>
    <n v="1"/>
  </r>
  <r>
    <n v="120"/>
    <n v="15198"/>
    <x v="3"/>
    <d v="2023-03-14T00:00:00"/>
    <x v="82"/>
    <d v="2023-04-01T00:00:00"/>
    <x v="1"/>
    <m/>
    <n v="1"/>
  </r>
  <r>
    <n v="121"/>
    <n v="21289"/>
    <x v="1"/>
    <d v="2023-01-17T00:00:00"/>
    <x v="83"/>
    <d v="2023-01-26T00:00:00"/>
    <x v="1"/>
    <m/>
    <n v="1"/>
  </r>
  <r>
    <n v="122"/>
    <n v="27221"/>
    <x v="4"/>
    <d v="2023-01-08T00:00:00"/>
    <x v="84"/>
    <d v="2023-01-31T00:00:00"/>
    <x v="1"/>
    <m/>
    <n v="1"/>
  </r>
  <r>
    <n v="123"/>
    <n v="29858"/>
    <x v="0"/>
    <d v="2023-05-20T00:00:00"/>
    <x v="80"/>
    <d v="2023-06-11T00:00:00"/>
    <x v="1"/>
    <m/>
    <n v="1"/>
  </r>
  <r>
    <n v="124"/>
    <n v="16676"/>
    <x v="0"/>
    <d v="2023-01-13T00:00:00"/>
    <x v="84"/>
    <d v="2023-01-26T00:00:00"/>
    <x v="1"/>
    <m/>
    <n v="1"/>
  </r>
  <r>
    <n v="125"/>
    <n v="12847"/>
    <x v="1"/>
    <d v="2023-05-18T00:00:00"/>
    <x v="33"/>
    <d v="2023-05-27T00:00:00"/>
    <x v="1"/>
    <m/>
    <n v="1"/>
  </r>
  <r>
    <n v="126"/>
    <n v="22659"/>
    <x v="4"/>
    <d v="2023-04-15T00:00:00"/>
    <x v="19"/>
    <d v="2023-04-26T00:00:00"/>
    <x v="1"/>
    <m/>
    <n v="1"/>
  </r>
  <r>
    <n v="127"/>
    <n v="28235"/>
    <x v="2"/>
    <d v="2023-02-03T00:00:00"/>
    <x v="85"/>
    <d v="2023-02-18T00:00:00"/>
    <x v="1"/>
    <m/>
    <n v="1"/>
  </r>
  <r>
    <n v="128"/>
    <n v="10705"/>
    <x v="1"/>
    <d v="2023-04-05T00:00:00"/>
    <x v="59"/>
    <d v="2023-04-27T00:00:00"/>
    <x v="1"/>
    <m/>
    <n v="1"/>
  </r>
  <r>
    <n v="129"/>
    <n v="12540"/>
    <x v="3"/>
    <d v="2023-01-25T00:00:00"/>
    <x v="86"/>
    <d v="2023-02-02T00:00:00"/>
    <x v="1"/>
    <m/>
    <n v="1"/>
  </r>
  <r>
    <n v="130"/>
    <n v="16481"/>
    <x v="1"/>
    <d v="2023-04-16T00:00:00"/>
    <x v="87"/>
    <d v="2023-04-29T00:00:00"/>
    <x v="1"/>
    <m/>
    <n v="1"/>
  </r>
  <r>
    <n v="131"/>
    <n v="25600"/>
    <x v="2"/>
    <d v="2023-05-01T00:00:00"/>
    <x v="88"/>
    <d v="2023-05-25T00:00:00"/>
    <x v="1"/>
    <m/>
    <n v="1"/>
  </r>
  <r>
    <n v="132"/>
    <n v="20705"/>
    <x v="4"/>
    <d v="2023-04-07T00:00:00"/>
    <x v="89"/>
    <d v="2023-04-20T00:00:00"/>
    <x v="19"/>
    <d v="2023-05-13T00:00:00"/>
    <n v="1"/>
  </r>
  <r>
    <n v="133"/>
    <n v="16197"/>
    <x v="4"/>
    <d v="2023-05-31T00:00:00"/>
    <x v="90"/>
    <d v="2023-06-09T00:00:00"/>
    <x v="20"/>
    <d v="2023-06-29T00:00:00"/>
    <n v="1"/>
  </r>
  <r>
    <n v="134"/>
    <n v="22778"/>
    <x v="2"/>
    <d v="2023-02-02T00:00:00"/>
    <x v="72"/>
    <d v="2023-03-01T00:00:00"/>
    <x v="1"/>
    <m/>
    <n v="1"/>
  </r>
  <r>
    <n v="135"/>
    <n v="20449"/>
    <x v="4"/>
    <d v="2023-02-04T00:00:00"/>
    <x v="42"/>
    <d v="2023-02-13T00:00:00"/>
    <x v="1"/>
    <m/>
    <n v="1"/>
  </r>
  <r>
    <n v="136"/>
    <n v="20347"/>
    <x v="3"/>
    <d v="2023-05-05T00:00:00"/>
    <x v="91"/>
    <d v="2023-05-24T00:00:00"/>
    <x v="1"/>
    <m/>
    <n v="1"/>
  </r>
  <r>
    <n v="137"/>
    <n v="17304"/>
    <x v="1"/>
    <d v="2023-01-20T00:00:00"/>
    <x v="8"/>
    <d v="2023-02-09T00:00:00"/>
    <x v="1"/>
    <m/>
    <n v="1"/>
  </r>
  <r>
    <n v="138"/>
    <n v="26133"/>
    <x v="3"/>
    <d v="2023-04-29T00:00:00"/>
    <x v="91"/>
    <d v="2023-05-31T00:00:00"/>
    <x v="1"/>
    <m/>
    <n v="1"/>
  </r>
  <r>
    <n v="139"/>
    <n v="29284"/>
    <x v="1"/>
    <d v="2023-04-18T00:00:00"/>
    <x v="87"/>
    <d v="2023-04-21T00:00:00"/>
    <x v="1"/>
    <m/>
    <n v="1"/>
  </r>
  <r>
    <n v="140"/>
    <n v="22684"/>
    <x v="4"/>
    <d v="2023-05-07T00:00:00"/>
    <x v="51"/>
    <d v="2023-05-27T00:00:00"/>
    <x v="1"/>
    <m/>
    <n v="1"/>
  </r>
  <r>
    <n v="141"/>
    <n v="27990"/>
    <x v="3"/>
    <d v="2023-01-18T00:00:00"/>
    <x v="92"/>
    <d v="2023-01-29T00:00:00"/>
    <x v="1"/>
    <m/>
    <n v="1"/>
  </r>
  <r>
    <n v="142"/>
    <n v="24405"/>
    <x v="2"/>
    <d v="2023-01-23T00:00:00"/>
    <x v="55"/>
    <d v="2023-02-12T00:00:00"/>
    <x v="1"/>
    <m/>
    <n v="1"/>
  </r>
  <r>
    <n v="143"/>
    <n v="18667"/>
    <x v="4"/>
    <d v="2023-05-07T00:00:00"/>
    <x v="7"/>
    <d v="2023-05-16T00:00:00"/>
    <x v="1"/>
    <m/>
    <n v="1"/>
  </r>
  <r>
    <n v="144"/>
    <n v="25813"/>
    <x v="4"/>
    <d v="2023-01-14T00:00:00"/>
    <x v="83"/>
    <d v="2023-01-27T00:00:00"/>
    <x v="1"/>
    <m/>
    <n v="1"/>
  </r>
  <r>
    <n v="145"/>
    <n v="24899"/>
    <x v="0"/>
    <d v="2023-05-11T00:00:00"/>
    <x v="17"/>
    <d v="2023-05-22T00:00:00"/>
    <x v="1"/>
    <m/>
    <n v="1"/>
  </r>
  <r>
    <n v="146"/>
    <n v="20063"/>
    <x v="4"/>
    <d v="2023-05-06T00:00:00"/>
    <x v="93"/>
    <d v="2023-05-10T00:00:00"/>
    <x v="1"/>
    <m/>
    <n v="1"/>
  </r>
  <r>
    <n v="147"/>
    <n v="25659"/>
    <x v="0"/>
    <d v="2023-01-06T00:00:00"/>
    <x v="64"/>
    <m/>
    <x v="21"/>
    <d v="2023-02-06T00:00:00"/>
    <n v="0"/>
  </r>
  <r>
    <n v="148"/>
    <n v="10012"/>
    <x v="2"/>
    <d v="2023-05-26T00:00:00"/>
    <x v="66"/>
    <d v="2023-06-15T00:00:00"/>
    <x v="1"/>
    <m/>
    <n v="1"/>
  </r>
  <r>
    <n v="149"/>
    <n v="17183"/>
    <x v="1"/>
    <d v="2023-04-23T00:00:00"/>
    <x v="13"/>
    <d v="2023-05-04T00:00:00"/>
    <x v="1"/>
    <m/>
    <n v="1"/>
  </r>
  <r>
    <n v="150"/>
    <n v="25726"/>
    <x v="4"/>
    <d v="2023-01-02T00:00:00"/>
    <x v="94"/>
    <d v="2023-01-14T00:00:00"/>
    <x v="1"/>
    <m/>
    <n v="1"/>
  </r>
  <r>
    <n v="151"/>
    <n v="12275"/>
    <x v="3"/>
    <d v="2023-02-19T00:00:00"/>
    <x v="73"/>
    <d v="2023-02-26T00:00:00"/>
    <x v="1"/>
    <m/>
    <n v="1"/>
  </r>
  <r>
    <n v="152"/>
    <n v="20640"/>
    <x v="0"/>
    <d v="2023-01-21T00:00:00"/>
    <x v="92"/>
    <d v="2023-02-11T00:00:00"/>
    <x v="22"/>
    <d v="2023-02-21T00:00:00"/>
    <n v="1"/>
  </r>
  <r>
    <n v="153"/>
    <n v="27984"/>
    <x v="1"/>
    <d v="2023-03-15T00:00:00"/>
    <x v="75"/>
    <d v="2023-03-20T00:00:00"/>
    <x v="1"/>
    <m/>
    <n v="1"/>
  </r>
  <r>
    <n v="154"/>
    <n v="24080"/>
    <x v="4"/>
    <d v="2023-03-11T00:00:00"/>
    <x v="95"/>
    <d v="2023-03-29T00:00:00"/>
    <x v="1"/>
    <m/>
    <n v="1"/>
  </r>
  <r>
    <n v="155"/>
    <n v="27048"/>
    <x v="3"/>
    <d v="2023-05-19T00:00:00"/>
    <x v="96"/>
    <d v="2023-06-04T00:00:00"/>
    <x v="1"/>
    <m/>
    <n v="1"/>
  </r>
  <r>
    <n v="156"/>
    <n v="21442"/>
    <x v="1"/>
    <d v="2023-05-09T00:00:00"/>
    <x v="97"/>
    <d v="2023-06-04T00:00:00"/>
    <x v="1"/>
    <m/>
    <n v="1"/>
  </r>
  <r>
    <n v="157"/>
    <n v="17595"/>
    <x v="2"/>
    <d v="2023-01-22T00:00:00"/>
    <x v="98"/>
    <d v="2023-02-24T00:00:00"/>
    <x v="1"/>
    <m/>
    <n v="1"/>
  </r>
  <r>
    <n v="158"/>
    <n v="14728"/>
    <x v="2"/>
    <d v="2023-02-04T00:00:00"/>
    <x v="99"/>
    <d v="2023-02-24T00:00:00"/>
    <x v="23"/>
    <d v="2023-03-11T00:00:00"/>
    <n v="1"/>
  </r>
  <r>
    <n v="159"/>
    <n v="28928"/>
    <x v="2"/>
    <d v="2023-04-07T00:00:00"/>
    <x v="21"/>
    <d v="2023-04-17T00:00:00"/>
    <x v="24"/>
    <d v="2023-04-21T00:00:00"/>
    <n v="1"/>
  </r>
  <r>
    <n v="160"/>
    <n v="18601"/>
    <x v="2"/>
    <d v="2023-05-18T00:00:00"/>
    <x v="79"/>
    <d v="2023-05-30T00:00:00"/>
    <x v="1"/>
    <m/>
    <n v="1"/>
  </r>
  <r>
    <n v="161"/>
    <n v="16482"/>
    <x v="0"/>
    <d v="2023-01-01T00:00:00"/>
    <x v="100"/>
    <d v="2023-01-24T00:00:00"/>
    <x v="1"/>
    <m/>
    <n v="1"/>
  </r>
  <r>
    <n v="162"/>
    <n v="11154"/>
    <x v="1"/>
    <d v="2023-04-05T00:00:00"/>
    <x v="18"/>
    <m/>
    <x v="25"/>
    <d v="2023-04-25T00:00:00"/>
    <n v="0"/>
  </r>
  <r>
    <n v="163"/>
    <n v="20637"/>
    <x v="1"/>
    <d v="2023-02-02T00:00:00"/>
    <x v="74"/>
    <d v="2023-02-03T00:00:00"/>
    <x v="1"/>
    <m/>
    <n v="1"/>
  </r>
  <r>
    <n v="164"/>
    <n v="11551"/>
    <x v="2"/>
    <d v="2023-02-25T00:00:00"/>
    <x v="101"/>
    <d v="2023-03-23T00:00:00"/>
    <x v="1"/>
    <m/>
    <n v="1"/>
  </r>
  <r>
    <n v="165"/>
    <n v="29466"/>
    <x v="4"/>
    <d v="2023-03-06T00:00:00"/>
    <x v="102"/>
    <d v="2023-03-09T00:00:00"/>
    <x v="1"/>
    <m/>
    <n v="1"/>
  </r>
  <r>
    <n v="166"/>
    <n v="21102"/>
    <x v="0"/>
    <d v="2023-01-04T00:00:00"/>
    <x v="94"/>
    <d v="2023-01-25T00:00:00"/>
    <x v="1"/>
    <m/>
    <n v="1"/>
  </r>
  <r>
    <n v="167"/>
    <n v="28516"/>
    <x v="0"/>
    <d v="2023-05-17T00:00:00"/>
    <x v="80"/>
    <d v="2023-06-03T00:00:00"/>
    <x v="1"/>
    <m/>
    <n v="1"/>
  </r>
  <r>
    <n v="168"/>
    <n v="25845"/>
    <x v="1"/>
    <d v="2023-01-01T00:00:00"/>
    <x v="9"/>
    <d v="2023-01-22T00:00:00"/>
    <x v="1"/>
    <m/>
    <n v="1"/>
  </r>
  <r>
    <n v="169"/>
    <n v="11509"/>
    <x v="1"/>
    <d v="2023-01-20T00:00:00"/>
    <x v="98"/>
    <d v="2023-01-29T00:00:00"/>
    <x v="1"/>
    <m/>
    <n v="1"/>
  </r>
  <r>
    <n v="170"/>
    <n v="22795"/>
    <x v="2"/>
    <d v="2023-04-29T00:00:00"/>
    <x v="103"/>
    <d v="2023-05-19T00:00:00"/>
    <x v="1"/>
    <m/>
    <n v="1"/>
  </r>
  <r>
    <n v="171"/>
    <n v="23283"/>
    <x v="0"/>
    <d v="2023-04-13T00:00:00"/>
    <x v="104"/>
    <d v="2023-04-28T00:00:00"/>
    <x v="1"/>
    <m/>
    <n v="1"/>
  </r>
  <r>
    <n v="172"/>
    <n v="29986"/>
    <x v="2"/>
    <d v="2023-03-04T00:00:00"/>
    <x v="105"/>
    <d v="2023-03-24T00:00:00"/>
    <x v="1"/>
    <m/>
    <n v="1"/>
  </r>
  <r>
    <n v="173"/>
    <n v="21170"/>
    <x v="4"/>
    <d v="2023-05-04T00:00:00"/>
    <x v="93"/>
    <d v="2023-05-18T00:00:00"/>
    <x v="1"/>
    <m/>
    <n v="1"/>
  </r>
  <r>
    <n v="174"/>
    <n v="16096"/>
    <x v="3"/>
    <d v="2023-01-16T00:00:00"/>
    <x v="83"/>
    <d v="2023-02-10T00:00:00"/>
    <x v="1"/>
    <m/>
    <n v="1"/>
  </r>
  <r>
    <n v="175"/>
    <n v="26054"/>
    <x v="0"/>
    <d v="2023-05-20T00:00:00"/>
    <x v="80"/>
    <m/>
    <x v="1"/>
    <m/>
    <n v="0"/>
  </r>
  <r>
    <n v="176"/>
    <n v="29540"/>
    <x v="4"/>
    <d v="2023-01-30T00:00:00"/>
    <x v="86"/>
    <m/>
    <x v="1"/>
    <m/>
    <n v="0"/>
  </r>
  <r>
    <n v="177"/>
    <n v="26804"/>
    <x v="2"/>
    <d v="2023-02-13T00:00:00"/>
    <x v="1"/>
    <d v="2023-03-16T00:00:00"/>
    <x v="1"/>
    <m/>
    <n v="1"/>
  </r>
  <r>
    <n v="178"/>
    <n v="26872"/>
    <x v="4"/>
    <d v="2023-03-07T00:00:00"/>
    <x v="95"/>
    <d v="2023-04-03T00:00:00"/>
    <x v="1"/>
    <m/>
    <n v="1"/>
  </r>
  <r>
    <n v="179"/>
    <n v="19221"/>
    <x v="4"/>
    <d v="2023-05-22T00:00:00"/>
    <x v="106"/>
    <d v="2023-06-15T00:00:00"/>
    <x v="1"/>
    <m/>
    <n v="1"/>
  </r>
  <r>
    <n v="180"/>
    <n v="21692"/>
    <x v="2"/>
    <d v="2023-03-12T00:00:00"/>
    <x v="4"/>
    <d v="2023-03-24T00:00:00"/>
    <x v="1"/>
    <m/>
    <n v="1"/>
  </r>
  <r>
    <n v="181"/>
    <n v="26539"/>
    <x v="4"/>
    <d v="2023-02-03T00:00:00"/>
    <x v="60"/>
    <d v="2023-02-21T00:00:00"/>
    <x v="1"/>
    <m/>
    <n v="1"/>
  </r>
  <r>
    <n v="182"/>
    <n v="14078"/>
    <x v="0"/>
    <d v="2023-03-14T00:00:00"/>
    <x v="5"/>
    <d v="2023-03-27T00:00:00"/>
    <x v="1"/>
    <m/>
    <n v="1"/>
  </r>
  <r>
    <n v="183"/>
    <n v="12842"/>
    <x v="2"/>
    <d v="2023-03-07T00:00:00"/>
    <x v="44"/>
    <d v="2023-03-13T00:00:00"/>
    <x v="1"/>
    <m/>
    <n v="1"/>
  </r>
  <r>
    <n v="184"/>
    <n v="10651"/>
    <x v="1"/>
    <d v="2023-02-02T00:00:00"/>
    <x v="60"/>
    <d v="2023-02-18T00:00:00"/>
    <x v="1"/>
    <m/>
    <n v="1"/>
  </r>
  <r>
    <n v="185"/>
    <n v="22613"/>
    <x v="3"/>
    <d v="2023-01-17T00:00:00"/>
    <x v="107"/>
    <d v="2023-01-30T00:00:00"/>
    <x v="1"/>
    <m/>
    <n v="1"/>
  </r>
  <r>
    <n v="186"/>
    <n v="10480"/>
    <x v="4"/>
    <d v="2023-03-25T00:00:00"/>
    <x v="69"/>
    <d v="2023-04-10T00:00:00"/>
    <x v="1"/>
    <m/>
    <n v="1"/>
  </r>
  <r>
    <n v="187"/>
    <n v="22026"/>
    <x v="4"/>
    <d v="2023-05-17T00:00:00"/>
    <x v="17"/>
    <d v="2023-05-21T00:00:00"/>
    <x v="1"/>
    <m/>
    <n v="1"/>
  </r>
  <r>
    <n v="188"/>
    <n v="14073"/>
    <x v="2"/>
    <d v="2023-01-22T00:00:00"/>
    <x v="98"/>
    <d v="2023-02-17T00:00:00"/>
    <x v="1"/>
    <m/>
    <n v="1"/>
  </r>
  <r>
    <n v="189"/>
    <n v="23904"/>
    <x v="4"/>
    <d v="2023-05-15T00:00:00"/>
    <x v="80"/>
    <d v="2023-06-10T00:00:00"/>
    <x v="1"/>
    <m/>
    <n v="1"/>
  </r>
  <r>
    <n v="190"/>
    <n v="15675"/>
    <x v="2"/>
    <d v="2023-04-17T00:00:00"/>
    <x v="104"/>
    <d v="2023-04-24T00:00:00"/>
    <x v="1"/>
    <m/>
    <n v="1"/>
  </r>
  <r>
    <n v="191"/>
    <n v="27106"/>
    <x v="2"/>
    <d v="2023-02-02T00:00:00"/>
    <x v="74"/>
    <d v="2023-02-20T00:00:00"/>
    <x v="1"/>
    <m/>
    <n v="1"/>
  </r>
  <r>
    <n v="192"/>
    <n v="16152"/>
    <x v="0"/>
    <d v="2023-03-07T00:00:00"/>
    <x v="108"/>
    <d v="2023-03-17T00:00:00"/>
    <x v="1"/>
    <m/>
    <n v="1"/>
  </r>
  <r>
    <n v="193"/>
    <n v="14070"/>
    <x v="4"/>
    <d v="2023-05-10T00:00:00"/>
    <x v="32"/>
    <d v="2023-05-17T00:00:00"/>
    <x v="1"/>
    <m/>
    <n v="1"/>
  </r>
  <r>
    <n v="194"/>
    <n v="26656"/>
    <x v="1"/>
    <d v="2023-03-22T00:00:00"/>
    <x v="109"/>
    <m/>
    <x v="14"/>
    <d v="2023-04-27T00:00:00"/>
    <n v="0"/>
  </r>
  <r>
    <n v="195"/>
    <n v="13058"/>
    <x v="0"/>
    <d v="2023-04-20T00:00:00"/>
    <x v="110"/>
    <d v="2023-05-02T00:00:00"/>
    <x v="1"/>
    <m/>
    <n v="1"/>
  </r>
  <r>
    <n v="196"/>
    <n v="10555"/>
    <x v="3"/>
    <d v="2023-05-14T00:00:00"/>
    <x v="80"/>
    <d v="2023-05-31T00:00:00"/>
    <x v="26"/>
    <d v="2023-06-07T00:00:00"/>
    <n v="1"/>
  </r>
  <r>
    <n v="197"/>
    <n v="26967"/>
    <x v="4"/>
    <d v="2023-01-27T00:00:00"/>
    <x v="34"/>
    <m/>
    <x v="27"/>
    <d v="2023-03-07T00:00:00"/>
    <n v="0"/>
  </r>
  <r>
    <n v="198"/>
    <n v="26452"/>
    <x v="4"/>
    <d v="2023-01-09T00:00:00"/>
    <x v="57"/>
    <d v="2023-02-05T00:00:00"/>
    <x v="1"/>
    <m/>
    <n v="1"/>
  </r>
  <r>
    <n v="199"/>
    <n v="11417"/>
    <x v="4"/>
    <d v="2023-02-20T00:00:00"/>
    <x v="40"/>
    <d v="2023-03-10T00:00:00"/>
    <x v="1"/>
    <m/>
    <n v="1"/>
  </r>
  <r>
    <n v="200"/>
    <n v="11835"/>
    <x v="3"/>
    <d v="2023-04-22T00:00:00"/>
    <x v="111"/>
    <d v="2023-05-18T00:00:00"/>
    <x v="28"/>
    <d v="2023-05-22T00:00:00"/>
    <n v="1"/>
  </r>
  <r>
    <n v="201"/>
    <n v="20835"/>
    <x v="1"/>
    <d v="2023-01-11T00:00:00"/>
    <x v="57"/>
    <d v="2023-01-28T00:00:00"/>
    <x v="1"/>
    <m/>
    <n v="1"/>
  </r>
  <r>
    <n v="202"/>
    <n v="17900"/>
    <x v="4"/>
    <d v="2023-05-22T00:00:00"/>
    <x v="96"/>
    <d v="2023-05-31T00:00:00"/>
    <x v="1"/>
    <m/>
    <n v="1"/>
  </r>
  <r>
    <n v="203"/>
    <n v="23659"/>
    <x v="0"/>
    <d v="2023-01-21T00:00:00"/>
    <x v="112"/>
    <d v="2023-02-01T00:00:00"/>
    <x v="1"/>
    <m/>
    <n v="1"/>
  </r>
  <r>
    <n v="204"/>
    <n v="22717"/>
    <x v="2"/>
    <d v="2023-04-25T00:00:00"/>
    <x v="52"/>
    <d v="2023-05-15T00:00:00"/>
    <x v="1"/>
    <m/>
    <n v="1"/>
  </r>
  <r>
    <n v="205"/>
    <n v="10886"/>
    <x v="0"/>
    <d v="2023-02-05T00:00:00"/>
    <x v="72"/>
    <d v="2023-03-05T00:00:00"/>
    <x v="1"/>
    <m/>
    <n v="1"/>
  </r>
  <r>
    <n v="206"/>
    <n v="14967"/>
    <x v="4"/>
    <d v="2023-04-30T00:00:00"/>
    <x v="103"/>
    <d v="2023-05-13T00:00:00"/>
    <x v="1"/>
    <m/>
    <n v="1"/>
  </r>
  <r>
    <n v="207"/>
    <n v="13901"/>
    <x v="4"/>
    <d v="2023-01-06T00:00:00"/>
    <x v="113"/>
    <d v="2023-01-23T00:00:00"/>
    <x v="1"/>
    <m/>
    <n v="1"/>
  </r>
  <r>
    <n v="208"/>
    <n v="20720"/>
    <x v="2"/>
    <d v="2023-02-26T00:00:00"/>
    <x v="54"/>
    <d v="2023-03-24T00:00:00"/>
    <x v="1"/>
    <m/>
    <n v="1"/>
  </r>
  <r>
    <n v="209"/>
    <n v="20573"/>
    <x v="2"/>
    <d v="2023-05-21T00:00:00"/>
    <x v="96"/>
    <d v="2023-05-25T00:00:00"/>
    <x v="29"/>
    <d v="2023-06-16T00:00:00"/>
    <n v="1"/>
  </r>
  <r>
    <n v="210"/>
    <n v="15293"/>
    <x v="3"/>
    <d v="2023-04-01T00:00:00"/>
    <x v="23"/>
    <d v="2023-04-18T00:00:00"/>
    <x v="1"/>
    <m/>
    <n v="1"/>
  </r>
  <r>
    <n v="211"/>
    <n v="10763"/>
    <x v="1"/>
    <d v="2023-04-07T00:00:00"/>
    <x v="23"/>
    <d v="2023-04-12T00:00:00"/>
    <x v="1"/>
    <m/>
    <n v="1"/>
  </r>
  <r>
    <n v="212"/>
    <n v="21495"/>
    <x v="0"/>
    <d v="2023-02-22T00:00:00"/>
    <x v="101"/>
    <m/>
    <x v="1"/>
    <m/>
    <n v="0"/>
  </r>
  <r>
    <n v="213"/>
    <n v="23088"/>
    <x v="1"/>
    <d v="2023-05-09T00:00:00"/>
    <x v="114"/>
    <d v="2023-05-16T00:00:00"/>
    <x v="1"/>
    <m/>
    <n v="1"/>
  </r>
  <r>
    <n v="214"/>
    <n v="17113"/>
    <x v="3"/>
    <d v="2023-04-15T00:00:00"/>
    <x v="35"/>
    <m/>
    <x v="1"/>
    <m/>
    <n v="0"/>
  </r>
  <r>
    <n v="215"/>
    <n v="11016"/>
    <x v="3"/>
    <d v="2023-03-29T00:00:00"/>
    <x v="38"/>
    <m/>
    <x v="30"/>
    <d v="2023-04-27T00:00:00"/>
    <n v="0"/>
  </r>
  <r>
    <n v="216"/>
    <n v="21409"/>
    <x v="2"/>
    <d v="2023-04-18T00:00:00"/>
    <x v="87"/>
    <d v="2023-05-03T00:00:00"/>
    <x v="1"/>
    <m/>
    <n v="1"/>
  </r>
  <r>
    <n v="217"/>
    <n v="29076"/>
    <x v="3"/>
    <d v="2023-04-24T00:00:00"/>
    <x v="115"/>
    <m/>
    <x v="1"/>
    <m/>
    <n v="0"/>
  </r>
  <r>
    <n v="218"/>
    <n v="14150"/>
    <x v="4"/>
    <d v="2023-03-20T00:00:00"/>
    <x v="50"/>
    <d v="2023-03-26T00:00:00"/>
    <x v="1"/>
    <m/>
    <n v="1"/>
  </r>
  <r>
    <n v="219"/>
    <n v="16870"/>
    <x v="1"/>
    <d v="2023-02-12T00:00:00"/>
    <x v="1"/>
    <d v="2023-03-13T00:00:00"/>
    <x v="1"/>
    <m/>
    <n v="1"/>
  </r>
  <r>
    <n v="220"/>
    <n v="23368"/>
    <x v="3"/>
    <d v="2023-03-20T00:00:00"/>
    <x v="49"/>
    <d v="2023-04-04T00:00:00"/>
    <x v="1"/>
    <m/>
    <n v="1"/>
  </r>
  <r>
    <n v="221"/>
    <n v="28671"/>
    <x v="1"/>
    <d v="2023-02-01T00:00:00"/>
    <x v="116"/>
    <d v="2023-02-13T00:00:00"/>
    <x v="1"/>
    <m/>
    <n v="1"/>
  </r>
  <r>
    <n v="222"/>
    <n v="23485"/>
    <x v="4"/>
    <d v="2023-05-25T00:00:00"/>
    <x v="48"/>
    <d v="2023-06-08T00:00:00"/>
    <x v="1"/>
    <m/>
    <n v="1"/>
  </r>
  <r>
    <n v="223"/>
    <n v="17987"/>
    <x v="0"/>
    <d v="2023-04-14T00:00:00"/>
    <x v="104"/>
    <d v="2023-04-27T00:00:00"/>
    <x v="1"/>
    <m/>
    <n v="1"/>
  </r>
  <r>
    <n v="224"/>
    <n v="26280"/>
    <x v="4"/>
    <d v="2023-03-21T00:00:00"/>
    <x v="117"/>
    <d v="2023-03-31T00:00:00"/>
    <x v="1"/>
    <m/>
    <n v="1"/>
  </r>
  <r>
    <n v="225"/>
    <n v="14689"/>
    <x v="4"/>
    <d v="2023-05-10T00:00:00"/>
    <x v="97"/>
    <d v="2023-05-15T00:00:00"/>
    <x v="1"/>
    <m/>
    <n v="1"/>
  </r>
  <r>
    <n v="226"/>
    <n v="22863"/>
    <x v="0"/>
    <d v="2023-02-21T00:00:00"/>
    <x v="101"/>
    <m/>
    <x v="31"/>
    <d v="2023-03-23T00:00:00"/>
    <n v="0"/>
  </r>
  <r>
    <n v="227"/>
    <n v="22388"/>
    <x v="0"/>
    <d v="2023-05-25T00:00:00"/>
    <x v="29"/>
    <d v="2023-06-01T00:00:00"/>
    <x v="1"/>
    <m/>
    <n v="1"/>
  </r>
  <r>
    <n v="228"/>
    <n v="14375"/>
    <x v="2"/>
    <d v="2023-05-19T00:00:00"/>
    <x v="79"/>
    <d v="2023-05-19T00:00:00"/>
    <x v="1"/>
    <m/>
    <n v="1"/>
  </r>
  <r>
    <n v="229"/>
    <n v="26682"/>
    <x v="3"/>
    <d v="2023-01-21T00:00:00"/>
    <x v="92"/>
    <d v="2023-02-08T00:00:00"/>
    <x v="1"/>
    <m/>
    <n v="1"/>
  </r>
  <r>
    <n v="230"/>
    <n v="24535"/>
    <x v="3"/>
    <d v="2023-04-16T00:00:00"/>
    <x v="118"/>
    <d v="2023-05-10T00:00:00"/>
    <x v="1"/>
    <m/>
    <n v="1"/>
  </r>
  <r>
    <n v="231"/>
    <n v="17373"/>
    <x v="1"/>
    <d v="2023-04-30T00:00:00"/>
    <x v="88"/>
    <d v="2023-05-15T00:00:00"/>
    <x v="32"/>
    <d v="2023-05-31T00:00:00"/>
    <n v="1"/>
  </r>
  <r>
    <n v="232"/>
    <n v="16872"/>
    <x v="1"/>
    <d v="2023-04-29T00:00:00"/>
    <x v="119"/>
    <d v="2023-05-05T00:00:00"/>
    <x v="1"/>
    <m/>
    <n v="1"/>
  </r>
  <r>
    <n v="233"/>
    <n v="14775"/>
    <x v="1"/>
    <d v="2023-01-18T00:00:00"/>
    <x v="92"/>
    <d v="2023-01-23T00:00:00"/>
    <x v="1"/>
    <m/>
    <n v="1"/>
  </r>
  <r>
    <n v="234"/>
    <n v="21646"/>
    <x v="1"/>
    <d v="2023-04-19T00:00:00"/>
    <x v="56"/>
    <d v="2023-05-08T00:00:00"/>
    <x v="1"/>
    <m/>
    <n v="1"/>
  </r>
  <r>
    <n v="235"/>
    <n v="22234"/>
    <x v="2"/>
    <d v="2023-05-20T00:00:00"/>
    <x v="106"/>
    <d v="2023-06-15T00:00:00"/>
    <x v="1"/>
    <m/>
    <n v="1"/>
  </r>
  <r>
    <n v="236"/>
    <n v="29049"/>
    <x v="1"/>
    <d v="2023-01-07T00:00:00"/>
    <x v="2"/>
    <d v="2023-01-14T00:00:00"/>
    <x v="1"/>
    <m/>
    <n v="1"/>
  </r>
  <r>
    <n v="237"/>
    <n v="22300"/>
    <x v="0"/>
    <d v="2023-05-15T00:00:00"/>
    <x v="120"/>
    <d v="2023-05-24T00:00:00"/>
    <x v="1"/>
    <m/>
    <n v="1"/>
  </r>
  <r>
    <n v="238"/>
    <n v="10892"/>
    <x v="1"/>
    <d v="2023-05-30T00:00:00"/>
    <x v="47"/>
    <d v="2023-06-17T00:00:00"/>
    <x v="1"/>
    <m/>
    <n v="1"/>
  </r>
  <r>
    <n v="239"/>
    <n v="25522"/>
    <x v="2"/>
    <d v="2023-03-22T00:00:00"/>
    <x v="50"/>
    <d v="2023-04-10T00:00:00"/>
    <x v="1"/>
    <m/>
    <n v="1"/>
  </r>
  <r>
    <n v="240"/>
    <n v="20423"/>
    <x v="2"/>
    <d v="2023-05-19T00:00:00"/>
    <x v="37"/>
    <d v="2023-06-07T00:00:00"/>
    <x v="1"/>
    <m/>
    <n v="1"/>
  </r>
  <r>
    <n v="241"/>
    <n v="24139"/>
    <x v="1"/>
    <d v="2023-04-22T00:00:00"/>
    <x v="56"/>
    <d v="2023-04-22T00:00:00"/>
    <x v="33"/>
    <d v="2023-05-09T00:00:00"/>
    <n v="1"/>
  </r>
  <r>
    <n v="242"/>
    <n v="25069"/>
    <x v="1"/>
    <d v="2023-03-05T00:00:00"/>
    <x v="102"/>
    <d v="2023-03-16T00:00:00"/>
    <x v="34"/>
    <d v="2023-04-09T00:00:00"/>
    <n v="1"/>
  </r>
  <r>
    <n v="243"/>
    <n v="24171"/>
    <x v="3"/>
    <d v="2023-01-11T00:00:00"/>
    <x v="84"/>
    <d v="2023-02-10T00:00:00"/>
    <x v="1"/>
    <m/>
    <n v="1"/>
  </r>
  <r>
    <n v="244"/>
    <n v="18020"/>
    <x v="3"/>
    <d v="2023-02-01T00:00:00"/>
    <x v="85"/>
    <d v="2023-03-01T00:00:00"/>
    <x v="1"/>
    <m/>
    <n v="1"/>
  </r>
  <r>
    <n v="245"/>
    <n v="12231"/>
    <x v="3"/>
    <d v="2023-02-20T00:00:00"/>
    <x v="40"/>
    <m/>
    <x v="1"/>
    <m/>
    <n v="0"/>
  </r>
  <r>
    <n v="246"/>
    <n v="24521"/>
    <x v="4"/>
    <d v="2023-04-22T00:00:00"/>
    <x v="115"/>
    <d v="2023-05-05T00:00:00"/>
    <x v="1"/>
    <m/>
    <n v="1"/>
  </r>
  <r>
    <n v="247"/>
    <n v="11054"/>
    <x v="1"/>
    <d v="2023-04-03T00:00:00"/>
    <x v="30"/>
    <d v="2023-04-22T00:00:00"/>
    <x v="1"/>
    <m/>
    <n v="1"/>
  </r>
  <r>
    <n v="248"/>
    <n v="17693"/>
    <x v="2"/>
    <d v="2023-01-23T00:00:00"/>
    <x v="107"/>
    <d v="2023-02-09T00:00:00"/>
    <x v="1"/>
    <m/>
    <n v="1"/>
  </r>
  <r>
    <n v="249"/>
    <n v="12831"/>
    <x v="0"/>
    <d v="2023-01-27T00:00:00"/>
    <x v="55"/>
    <d v="2023-02-09T00:00:00"/>
    <x v="1"/>
    <m/>
    <n v="1"/>
  </r>
  <r>
    <n v="250"/>
    <n v="27353"/>
    <x v="1"/>
    <d v="2023-05-10T00:00:00"/>
    <x v="32"/>
    <m/>
    <x v="1"/>
    <m/>
    <n v="0"/>
  </r>
  <r>
    <n v="251"/>
    <n v="13606"/>
    <x v="0"/>
    <d v="2023-03-15T00:00:00"/>
    <x v="121"/>
    <d v="2023-04-05T00:00:00"/>
    <x v="1"/>
    <m/>
    <n v="1"/>
  </r>
  <r>
    <n v="252"/>
    <n v="21166"/>
    <x v="4"/>
    <d v="2023-04-24T00:00:00"/>
    <x v="52"/>
    <d v="2023-05-02T00:00:00"/>
    <x v="1"/>
    <m/>
    <n v="1"/>
  </r>
  <r>
    <n v="253"/>
    <n v="27706"/>
    <x v="2"/>
    <d v="2023-01-27T00:00:00"/>
    <x v="122"/>
    <d v="2023-02-10T00:00:00"/>
    <x v="1"/>
    <m/>
    <n v="1"/>
  </r>
  <r>
    <n v="254"/>
    <n v="15539"/>
    <x v="3"/>
    <d v="2023-02-24T00:00:00"/>
    <x v="101"/>
    <d v="2023-03-25T00:00:00"/>
    <x v="1"/>
    <m/>
    <n v="1"/>
  </r>
  <r>
    <n v="255"/>
    <n v="13341"/>
    <x v="1"/>
    <d v="2023-04-15T00:00:00"/>
    <x v="104"/>
    <d v="2023-04-20T00:00:00"/>
    <x v="19"/>
    <d v="2023-05-16T00:00:00"/>
    <n v="1"/>
  </r>
  <r>
    <n v="256"/>
    <n v="25104"/>
    <x v="2"/>
    <d v="2023-01-23T00:00:00"/>
    <x v="98"/>
    <d v="2023-02-17T00:00:00"/>
    <x v="1"/>
    <m/>
    <n v="1"/>
  </r>
  <r>
    <n v="257"/>
    <n v="17873"/>
    <x v="1"/>
    <d v="2023-02-15T00:00:00"/>
    <x v="39"/>
    <m/>
    <x v="1"/>
    <m/>
    <n v="0"/>
  </r>
  <r>
    <n v="258"/>
    <n v="29210"/>
    <x v="0"/>
    <d v="2023-04-07T00:00:00"/>
    <x v="21"/>
    <d v="2023-04-21T00:00:00"/>
    <x v="1"/>
    <m/>
    <n v="1"/>
  </r>
  <r>
    <n v="259"/>
    <n v="25731"/>
    <x v="1"/>
    <d v="2023-01-01T00:00:00"/>
    <x v="100"/>
    <d v="2023-01-18T00:00:00"/>
    <x v="1"/>
    <m/>
    <n v="1"/>
  </r>
  <r>
    <n v="260"/>
    <n v="29114"/>
    <x v="0"/>
    <d v="2023-01-31T00:00:00"/>
    <x v="116"/>
    <d v="2023-02-08T00:00:00"/>
    <x v="1"/>
    <m/>
    <n v="1"/>
  </r>
  <r>
    <n v="261"/>
    <n v="25212"/>
    <x v="2"/>
    <d v="2023-05-03T00:00:00"/>
    <x v="123"/>
    <d v="2023-05-10T00:00:00"/>
    <x v="1"/>
    <m/>
    <n v="1"/>
  </r>
  <r>
    <n v="262"/>
    <n v="28249"/>
    <x v="1"/>
    <d v="2023-01-10T00:00:00"/>
    <x v="22"/>
    <d v="2023-01-11T00:00:00"/>
    <x v="1"/>
    <m/>
    <n v="1"/>
  </r>
  <r>
    <n v="263"/>
    <n v="29157"/>
    <x v="4"/>
    <d v="2023-03-21T00:00:00"/>
    <x v="117"/>
    <d v="2023-03-29T00:00:00"/>
    <x v="35"/>
    <d v="2023-04-16T00:00:00"/>
    <n v="1"/>
  </r>
  <r>
    <n v="264"/>
    <n v="26705"/>
    <x v="0"/>
    <d v="2023-05-16T00:00:00"/>
    <x v="120"/>
    <d v="2023-05-28T00:00:00"/>
    <x v="1"/>
    <m/>
    <n v="1"/>
  </r>
  <r>
    <n v="265"/>
    <n v="11480"/>
    <x v="2"/>
    <d v="2023-05-19T00:00:00"/>
    <x v="96"/>
    <d v="2023-05-27T00:00:00"/>
    <x v="1"/>
    <m/>
    <n v="1"/>
  </r>
  <r>
    <n v="266"/>
    <n v="25537"/>
    <x v="2"/>
    <d v="2023-05-02T00:00:00"/>
    <x v="31"/>
    <d v="2023-05-08T00:00:00"/>
    <x v="32"/>
    <d v="2023-05-31T00:00:00"/>
    <n v="1"/>
  </r>
  <r>
    <n v="267"/>
    <n v="25238"/>
    <x v="1"/>
    <d v="2023-01-01T00:00:00"/>
    <x v="9"/>
    <d v="2023-01-20T00:00:00"/>
    <x v="1"/>
    <m/>
    <n v="1"/>
  </r>
  <r>
    <n v="268"/>
    <n v="27151"/>
    <x v="1"/>
    <d v="2023-03-06T00:00:00"/>
    <x v="95"/>
    <d v="2023-03-31T00:00:00"/>
    <x v="1"/>
    <m/>
    <n v="1"/>
  </r>
  <r>
    <n v="269"/>
    <n v="21917"/>
    <x v="0"/>
    <d v="2023-01-15T00:00:00"/>
    <x v="83"/>
    <d v="2023-02-01T00:00:00"/>
    <x v="1"/>
    <m/>
    <n v="1"/>
  </r>
  <r>
    <n v="270"/>
    <n v="22651"/>
    <x v="3"/>
    <d v="2023-02-21T00:00:00"/>
    <x v="39"/>
    <d v="2023-02-28T00:00:00"/>
    <x v="36"/>
    <d v="2023-03-09T00:00:00"/>
    <n v="1"/>
  </r>
  <r>
    <n v="271"/>
    <n v="21970"/>
    <x v="4"/>
    <d v="2023-03-21T00:00:00"/>
    <x v="117"/>
    <d v="2023-03-26T00:00:00"/>
    <x v="37"/>
    <d v="2023-04-17T00:00:00"/>
    <n v="1"/>
  </r>
  <r>
    <n v="272"/>
    <n v="29030"/>
    <x v="0"/>
    <d v="2023-05-17T00:00:00"/>
    <x v="79"/>
    <d v="2023-05-19T00:00:00"/>
    <x v="1"/>
    <m/>
    <n v="1"/>
  </r>
  <r>
    <n v="273"/>
    <n v="16763"/>
    <x v="0"/>
    <d v="2023-02-24T00:00:00"/>
    <x v="124"/>
    <m/>
    <x v="38"/>
    <d v="2023-03-15T00:00:00"/>
    <n v="0"/>
  </r>
  <r>
    <n v="274"/>
    <n v="29869"/>
    <x v="2"/>
    <d v="2023-03-05T00:00:00"/>
    <x v="95"/>
    <m/>
    <x v="39"/>
    <d v="2023-04-16T00:00:00"/>
    <n v="0"/>
  </r>
  <r>
    <n v="275"/>
    <n v="25413"/>
    <x v="3"/>
    <d v="2023-05-16T00:00:00"/>
    <x v="17"/>
    <d v="2023-06-02T00:00:00"/>
    <x v="1"/>
    <m/>
    <n v="1"/>
  </r>
  <r>
    <n v="276"/>
    <n v="16148"/>
    <x v="4"/>
    <d v="2023-03-13T00:00:00"/>
    <x v="5"/>
    <d v="2023-03-28T00:00:00"/>
    <x v="1"/>
    <m/>
    <n v="1"/>
  </r>
  <r>
    <n v="277"/>
    <n v="22191"/>
    <x v="1"/>
    <d v="2023-04-15T00:00:00"/>
    <x v="87"/>
    <d v="2023-05-02T00:00:00"/>
    <x v="1"/>
    <m/>
    <n v="1"/>
  </r>
  <r>
    <n v="278"/>
    <n v="21733"/>
    <x v="1"/>
    <d v="2023-04-10T00:00:00"/>
    <x v="125"/>
    <d v="2023-04-19T00:00:00"/>
    <x v="1"/>
    <m/>
    <n v="1"/>
  </r>
  <r>
    <n v="279"/>
    <n v="26479"/>
    <x v="4"/>
    <d v="2023-04-20T00:00:00"/>
    <x v="35"/>
    <d v="2023-05-06T00:00:00"/>
    <x v="1"/>
    <m/>
    <n v="1"/>
  </r>
  <r>
    <n v="280"/>
    <n v="19699"/>
    <x v="1"/>
    <d v="2023-04-05T00:00:00"/>
    <x v="59"/>
    <d v="2023-04-24T00:00:00"/>
    <x v="1"/>
    <m/>
    <n v="1"/>
  </r>
  <r>
    <n v="281"/>
    <n v="21405"/>
    <x v="4"/>
    <d v="2023-01-27T00:00:00"/>
    <x v="86"/>
    <d v="2023-02-06T00:00:00"/>
    <x v="40"/>
    <d v="2023-02-23T00:00:00"/>
    <n v="1"/>
  </r>
  <r>
    <n v="282"/>
    <n v="27064"/>
    <x v="2"/>
    <d v="2023-03-15T00:00:00"/>
    <x v="126"/>
    <d v="2023-04-11T00:00:00"/>
    <x v="24"/>
    <d v="2023-04-22T00:00:00"/>
    <n v="1"/>
  </r>
  <r>
    <n v="283"/>
    <n v="29473"/>
    <x v="3"/>
    <d v="2023-01-01T00:00:00"/>
    <x v="100"/>
    <d v="2023-01-23T00:00:00"/>
    <x v="1"/>
    <m/>
    <n v="1"/>
  </r>
  <r>
    <n v="284"/>
    <n v="11247"/>
    <x v="3"/>
    <d v="2023-04-24T00:00:00"/>
    <x v="63"/>
    <d v="2023-05-12T00:00:00"/>
    <x v="10"/>
    <d v="2023-05-22T00:00:00"/>
    <n v="1"/>
  </r>
  <r>
    <n v="285"/>
    <n v="11849"/>
    <x v="1"/>
    <d v="2023-04-29T00:00:00"/>
    <x v="119"/>
    <d v="2023-05-05T00:00:00"/>
    <x v="1"/>
    <m/>
    <n v="1"/>
  </r>
  <r>
    <n v="286"/>
    <n v="22685"/>
    <x v="4"/>
    <d v="2023-01-29T00:00:00"/>
    <x v="122"/>
    <d v="2023-02-01T00:00:00"/>
    <x v="41"/>
    <d v="2023-02-19T00:00:00"/>
    <n v="1"/>
  </r>
  <r>
    <n v="287"/>
    <n v="23261"/>
    <x v="2"/>
    <d v="2023-03-25T00:00:00"/>
    <x v="127"/>
    <d v="2023-04-14T00:00:00"/>
    <x v="1"/>
    <m/>
    <n v="1"/>
  </r>
  <r>
    <n v="288"/>
    <n v="28819"/>
    <x v="0"/>
    <d v="2023-01-11T00:00:00"/>
    <x v="22"/>
    <m/>
    <x v="42"/>
    <d v="2023-02-14T00:00:00"/>
    <n v="0"/>
  </r>
  <r>
    <n v="289"/>
    <n v="10071"/>
    <x v="0"/>
    <d v="2023-03-05T00:00:00"/>
    <x v="105"/>
    <d v="2023-03-10T00:00:00"/>
    <x v="43"/>
    <d v="2023-04-03T00:00:00"/>
    <n v="1"/>
  </r>
  <r>
    <n v="290"/>
    <n v="25994"/>
    <x v="0"/>
    <d v="2023-04-23T00:00:00"/>
    <x v="110"/>
    <d v="2023-04-29T00:00:00"/>
    <x v="44"/>
    <d v="2023-05-18T00:00:00"/>
    <n v="1"/>
  </r>
  <r>
    <n v="291"/>
    <n v="12603"/>
    <x v="1"/>
    <d v="2023-05-24T00:00:00"/>
    <x v="128"/>
    <d v="2023-06-19T00:00:00"/>
    <x v="1"/>
    <m/>
    <n v="1"/>
  </r>
  <r>
    <n v="292"/>
    <n v="23717"/>
    <x v="3"/>
    <d v="2023-01-17T00:00:00"/>
    <x v="92"/>
    <d v="2023-02-16T00:00:00"/>
    <x v="1"/>
    <m/>
    <n v="1"/>
  </r>
  <r>
    <n v="293"/>
    <n v="18804"/>
    <x v="3"/>
    <d v="2023-04-24T00:00:00"/>
    <x v="110"/>
    <d v="2023-05-09T00:00:00"/>
    <x v="45"/>
    <d v="2023-05-19T00:00:00"/>
    <n v="1"/>
  </r>
  <r>
    <n v="294"/>
    <n v="14543"/>
    <x v="4"/>
    <d v="2023-04-03T00:00:00"/>
    <x v="14"/>
    <d v="2023-04-23T00:00:00"/>
    <x v="46"/>
    <d v="2023-05-01T00:00:00"/>
    <n v="1"/>
  </r>
  <r>
    <n v="295"/>
    <n v="27569"/>
    <x v="0"/>
    <d v="2023-05-15T00:00:00"/>
    <x v="79"/>
    <m/>
    <x v="47"/>
    <d v="2023-06-07T00:00:00"/>
    <n v="0"/>
  </r>
  <r>
    <n v="296"/>
    <n v="14322"/>
    <x v="0"/>
    <d v="2023-02-21T00:00:00"/>
    <x v="101"/>
    <m/>
    <x v="38"/>
    <d v="2023-03-18T00:00:00"/>
    <n v="0"/>
  </r>
  <r>
    <n v="297"/>
    <n v="28846"/>
    <x v="2"/>
    <d v="2023-01-07T00:00:00"/>
    <x v="2"/>
    <d v="2023-01-26T00:00:00"/>
    <x v="1"/>
    <m/>
    <n v="1"/>
  </r>
  <r>
    <n v="298"/>
    <n v="13694"/>
    <x v="2"/>
    <d v="2023-01-20T00:00:00"/>
    <x v="83"/>
    <d v="2023-01-23T00:00:00"/>
    <x v="1"/>
    <m/>
    <n v="1"/>
  </r>
  <r>
    <n v="299"/>
    <n v="10075"/>
    <x v="2"/>
    <d v="2023-02-13T00:00:00"/>
    <x v="62"/>
    <d v="2023-02-20T00:00:00"/>
    <x v="48"/>
    <d v="2023-03-23T00:00:00"/>
    <n v="1"/>
  </r>
  <r>
    <n v="300"/>
    <n v="22196"/>
    <x v="4"/>
    <d v="2023-03-20T00:00:00"/>
    <x v="50"/>
    <d v="2023-04-05T00:00:00"/>
    <x v="1"/>
    <m/>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20F164-043E-4B42-A0A0-3E5230C5F64E}" name="PivotLineGraph"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11" firstHeaderRow="1" firstDataRow="2" firstDataCol="1" rowPageCount="1" colPageCount="1"/>
  <pivotFields count="11">
    <pivotField showAll="0"/>
    <pivotField showAll="0"/>
    <pivotField axis="axisCol" showAll="0">
      <items count="6">
        <item h="1" x="1"/>
        <item h="1" x="2"/>
        <item x="4"/>
        <item h="1" x="0"/>
        <item h="1" x="3"/>
        <item t="default"/>
      </items>
    </pivotField>
    <pivotField numFmtId="14" showAll="0"/>
    <pivotField axis="axisRow" numFmtId="14" showAll="0">
      <items count="130">
        <item x="100"/>
        <item x="94"/>
        <item x="9"/>
        <item x="64"/>
        <item x="67"/>
        <item x="24"/>
        <item x="2"/>
        <item x="22"/>
        <item x="113"/>
        <item x="84"/>
        <item x="20"/>
        <item x="57"/>
        <item x="28"/>
        <item x="70"/>
        <item x="83"/>
        <item x="8"/>
        <item x="92"/>
        <item x="107"/>
        <item x="112"/>
        <item x="98"/>
        <item x="55"/>
        <item x="10"/>
        <item x="68"/>
        <item x="86"/>
        <item x="34"/>
        <item x="122"/>
        <item x="74"/>
        <item x="116"/>
        <item x="85"/>
        <item x="72"/>
        <item x="60"/>
        <item x="42"/>
        <item x="99"/>
        <item x="25"/>
        <item x="16"/>
        <item x="1"/>
        <item x="62"/>
        <item x="12"/>
        <item x="78"/>
        <item x="53"/>
        <item x="39"/>
        <item x="41"/>
        <item x="40"/>
        <item x="73"/>
        <item x="54"/>
        <item x="101"/>
        <item x="124"/>
        <item x="81"/>
        <item x="46"/>
        <item x="71"/>
        <item x="26"/>
        <item x="105"/>
        <item x="65"/>
        <item x="102"/>
        <item x="108"/>
        <item x="95"/>
        <item x="44"/>
        <item x="3"/>
        <item x="121"/>
        <item x="5"/>
        <item x="75"/>
        <item x="4"/>
        <item x="82"/>
        <item x="126"/>
        <item x="49"/>
        <item x="50"/>
        <item x="117"/>
        <item x="15"/>
        <item x="58"/>
        <item x="69"/>
        <item x="109"/>
        <item x="127"/>
        <item x="38"/>
        <item x="36"/>
        <item x="14"/>
        <item x="59"/>
        <item x="18"/>
        <item x="23"/>
        <item x="21"/>
        <item x="30"/>
        <item x="125"/>
        <item x="11"/>
        <item x="89"/>
        <item x="19"/>
        <item x="118"/>
        <item x="104"/>
        <item x="87"/>
        <item x="35"/>
        <item x="0"/>
        <item x="56"/>
        <item x="13"/>
        <item x="111"/>
        <item x="110"/>
        <item x="27"/>
        <item x="115"/>
        <item x="52"/>
        <item x="63"/>
        <item x="43"/>
        <item x="119"/>
        <item x="103"/>
        <item x="88"/>
        <item x="123"/>
        <item x="91"/>
        <item x="93"/>
        <item x="31"/>
        <item x="51"/>
        <item x="114"/>
        <item x="7"/>
        <item x="97"/>
        <item x="76"/>
        <item x="32"/>
        <item x="61"/>
        <item x="45"/>
        <item x="17"/>
        <item x="33"/>
        <item x="79"/>
        <item x="80"/>
        <item x="120"/>
        <item x="37"/>
        <item x="96"/>
        <item x="106"/>
        <item x="128"/>
        <item x="66"/>
        <item x="48"/>
        <item x="29"/>
        <item x="47"/>
        <item x="6"/>
        <item x="77"/>
        <item x="90"/>
        <item t="default"/>
      </items>
    </pivotField>
    <pivotField showAll="0"/>
    <pivotField axis="axisPage" showAll="0">
      <items count="50">
        <item x="2"/>
        <item x="16"/>
        <item x="21"/>
        <item x="8"/>
        <item x="42"/>
        <item x="13"/>
        <item x="40"/>
        <item x="41"/>
        <item x="22"/>
        <item x="5"/>
        <item x="27"/>
        <item x="36"/>
        <item x="11"/>
        <item x="23"/>
        <item x="38"/>
        <item x="17"/>
        <item x="48"/>
        <item x="31"/>
        <item x="3"/>
        <item x="43"/>
        <item x="15"/>
        <item x="34"/>
        <item x="39"/>
        <item x="37"/>
        <item x="35"/>
        <item x="7"/>
        <item x="24"/>
        <item x="14"/>
        <item x="12"/>
        <item x="30"/>
        <item x="25"/>
        <item x="46"/>
        <item x="0"/>
        <item x="33"/>
        <item x="6"/>
        <item x="19"/>
        <item x="45"/>
        <item x="44"/>
        <item x="10"/>
        <item x="28"/>
        <item x="32"/>
        <item x="18"/>
        <item x="4"/>
        <item x="47"/>
        <item x="26"/>
        <item x="29"/>
        <item x="20"/>
        <item x="9"/>
        <item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4"/>
  </rowFields>
  <rowItems count="7">
    <i>
      <x v="1"/>
    </i>
    <i>
      <x v="2"/>
    </i>
    <i>
      <x v="3"/>
    </i>
    <i>
      <x v="4"/>
    </i>
    <i>
      <x v="5"/>
    </i>
    <i>
      <x v="6"/>
    </i>
    <i t="grand">
      <x/>
    </i>
  </rowItems>
  <colFields count="1">
    <field x="2"/>
  </colFields>
  <colItems count="2">
    <i>
      <x v="2"/>
    </i>
    <i t="grand">
      <x/>
    </i>
  </colItems>
  <pageFields count="1">
    <pageField fld="6" hier="-1"/>
  </pageFields>
  <dataFields count="1">
    <dataField name="Count of Readmission Discharge Date" fld="7" subtotal="count" baseField="0" baseItem="0"/>
  </dataFields>
  <chartFormats count="20">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3"/>
          </reference>
        </references>
      </pivotArea>
    </chartFormat>
    <chartFormat chart="3" format="4" series="1">
      <pivotArea type="data" outline="0" fieldPosition="0">
        <references count="2">
          <reference field="4294967294" count="1" selected="0">
            <x v="0"/>
          </reference>
          <reference field="2" count="1" selected="0">
            <x v="4"/>
          </reference>
        </references>
      </pivotArea>
    </chartFormat>
    <chartFormat chart="5" format="10" series="1">
      <pivotArea type="data" outline="0" fieldPosition="0">
        <references count="2">
          <reference field="4294967294" count="1" selected="0">
            <x v="0"/>
          </reference>
          <reference field="2" count="1" selected="0">
            <x v="0"/>
          </reference>
        </references>
      </pivotArea>
    </chartFormat>
    <chartFormat chart="5" format="11" series="1">
      <pivotArea type="data" outline="0" fieldPosition="0">
        <references count="2">
          <reference field="4294967294" count="1" selected="0">
            <x v="0"/>
          </reference>
          <reference field="2" count="1" selected="0">
            <x v="1"/>
          </reference>
        </references>
      </pivotArea>
    </chartFormat>
    <chartFormat chart="5" format="12" series="1">
      <pivotArea type="data" outline="0" fieldPosition="0">
        <references count="2">
          <reference field="4294967294" count="1" selected="0">
            <x v="0"/>
          </reference>
          <reference field="2" count="1" selected="0">
            <x v="2"/>
          </reference>
        </references>
      </pivotArea>
    </chartFormat>
    <chartFormat chart="5" format="13" series="1">
      <pivotArea type="data" outline="0" fieldPosition="0">
        <references count="2">
          <reference field="4294967294" count="1" selected="0">
            <x v="0"/>
          </reference>
          <reference field="2" count="1" selected="0">
            <x v="3"/>
          </reference>
        </references>
      </pivotArea>
    </chartFormat>
    <chartFormat chart="5" format="14" series="1">
      <pivotArea type="data" outline="0" fieldPosition="0">
        <references count="2">
          <reference field="4294967294" count="1" selected="0">
            <x v="0"/>
          </reference>
          <reference field="2" count="1" selected="0">
            <x v="4"/>
          </reference>
        </references>
      </pivotArea>
    </chartFormat>
    <chartFormat chart="15" format="5" series="1">
      <pivotArea type="data" outline="0" fieldPosition="0">
        <references count="2">
          <reference field="4294967294" count="1" selected="0">
            <x v="0"/>
          </reference>
          <reference field="2" count="1" selected="0">
            <x v="0"/>
          </reference>
        </references>
      </pivotArea>
    </chartFormat>
    <chartFormat chart="15" format="6" series="1">
      <pivotArea type="data" outline="0" fieldPosition="0">
        <references count="2">
          <reference field="4294967294" count="1" selected="0">
            <x v="0"/>
          </reference>
          <reference field="2" count="1" selected="0">
            <x v="1"/>
          </reference>
        </references>
      </pivotArea>
    </chartFormat>
    <chartFormat chart="15" format="7" series="1">
      <pivotArea type="data" outline="0" fieldPosition="0">
        <references count="2">
          <reference field="4294967294" count="1" selected="0">
            <x v="0"/>
          </reference>
          <reference field="2" count="1" selected="0">
            <x v="2"/>
          </reference>
        </references>
      </pivotArea>
    </chartFormat>
    <chartFormat chart="15" format="8" series="1">
      <pivotArea type="data" outline="0" fieldPosition="0">
        <references count="2">
          <reference field="4294967294" count="1" selected="0">
            <x v="0"/>
          </reference>
          <reference field="2" count="1" selected="0">
            <x v="3"/>
          </reference>
        </references>
      </pivotArea>
    </chartFormat>
    <chartFormat chart="15" format="9" series="1">
      <pivotArea type="data" outline="0" fieldPosition="0">
        <references count="2">
          <reference field="4294967294" count="1" selected="0">
            <x v="0"/>
          </reference>
          <reference field="2" count="1" selected="0">
            <x v="4"/>
          </reference>
        </references>
      </pivotArea>
    </chartFormat>
    <chartFormat chart="17" format="10" series="1">
      <pivotArea type="data" outline="0" fieldPosition="0">
        <references count="2">
          <reference field="4294967294" count="1" selected="0">
            <x v="0"/>
          </reference>
          <reference field="2" count="1" selected="0">
            <x v="0"/>
          </reference>
        </references>
      </pivotArea>
    </chartFormat>
    <chartFormat chart="17" format="11" series="1">
      <pivotArea type="data" outline="0" fieldPosition="0">
        <references count="2">
          <reference field="4294967294" count="1" selected="0">
            <x v="0"/>
          </reference>
          <reference field="2" count="1" selected="0">
            <x v="1"/>
          </reference>
        </references>
      </pivotArea>
    </chartFormat>
    <chartFormat chart="17" format="12" series="1">
      <pivotArea type="data" outline="0" fieldPosition="0">
        <references count="2">
          <reference field="4294967294" count="1" selected="0">
            <x v="0"/>
          </reference>
          <reference field="2" count="1" selected="0">
            <x v="2"/>
          </reference>
        </references>
      </pivotArea>
    </chartFormat>
    <chartFormat chart="17" format="13" series="1">
      <pivotArea type="data" outline="0" fieldPosition="0">
        <references count="2">
          <reference field="4294967294" count="1" selected="0">
            <x v="0"/>
          </reference>
          <reference field="2" count="1" selected="0">
            <x v="3"/>
          </reference>
        </references>
      </pivotArea>
    </chartFormat>
    <chartFormat chart="17" format="1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99A478-E2F8-4DB2-9396-ABF78565C4FA}" name="PivotPDVReadmin" cacheId="0" applyNumberFormats="0" applyBorderFormats="0" applyFontFormats="0" applyPatternFormats="0" applyAlignmentFormats="0" applyWidthHeightFormats="1" dataCaption="Values" grandTotalCaption="Average" updatedVersion="8" minRefreshableVersion="3" useAutoFormatting="1" itemPrintTitles="1" createdVersion="8" indent="0" compact="0" compactData="0" multipleFieldFilters="0" chartFormat="15">
  <location ref="E9:F15" firstHeaderRow="1" firstDataRow="1" firstDataCol="1"/>
  <pivotFields count="10">
    <pivotField axis="axisRow" compact="0" outline="0" showAll="0">
      <items count="6">
        <item x="0"/>
        <item x="1"/>
        <item x="2"/>
        <item x="3"/>
        <item x="4"/>
        <item t="default"/>
      </items>
    </pivotField>
    <pivotField compact="0" outline="0" showAll="0"/>
    <pivotField compact="0" outline="0" showAll="0"/>
    <pivotField compact="0" numFmtId="9" outline="0" showAll="0"/>
    <pivotField compact="0" outline="0" showAll="0"/>
    <pivotField compact="0" outline="0" showAll="0"/>
    <pivotField compact="0" numFmtId="9" outline="0" showAll="0"/>
    <pivotField compact="0" outline="0" showAll="0"/>
    <pivotField dataField="1" compact="0" numFmtId="9" outline="0" showAll="0"/>
    <pivotField compact="0" numFmtId="9" outline="0" showAll="0"/>
  </pivotFields>
  <rowFields count="1">
    <field x="0"/>
  </rowFields>
  <rowItems count="6">
    <i>
      <x/>
    </i>
    <i>
      <x v="1"/>
    </i>
    <i>
      <x v="2"/>
    </i>
    <i>
      <x v="3"/>
    </i>
    <i>
      <x v="4"/>
    </i>
    <i t="grand">
      <x/>
    </i>
  </rowItems>
  <colItems count="1">
    <i/>
  </colItems>
  <dataFields count="1">
    <dataField name=" Percent of  Readmissions with PDV " fld="8" subtotal="average" baseField="0" baseItem="0" numFmtId="9"/>
  </dataField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BE311E-A341-7747-A677-151A827E4B30}" name="PivotRegionsReadmi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123:F131" firstHeaderRow="1" firstDataRow="2" firstDataCol="1" rowPageCount="1" colPageCount="1"/>
  <pivotFields count="11">
    <pivotField showAll="0"/>
    <pivotField showAll="0"/>
    <pivotField axis="axisCol" showAll="0">
      <items count="6">
        <item h="1" x="1"/>
        <item h="1" x="2"/>
        <item x="4"/>
        <item h="1" x="0"/>
        <item h="1" x="3"/>
        <item t="default"/>
      </items>
    </pivotField>
    <pivotField numFmtId="14" showAll="0"/>
    <pivotField axis="axisRow" numFmtId="14" showAll="0">
      <items count="130">
        <item x="100"/>
        <item x="94"/>
        <item x="9"/>
        <item x="64"/>
        <item x="67"/>
        <item x="24"/>
        <item x="2"/>
        <item x="22"/>
        <item x="113"/>
        <item x="84"/>
        <item x="20"/>
        <item x="57"/>
        <item x="28"/>
        <item x="70"/>
        <item x="83"/>
        <item x="8"/>
        <item x="92"/>
        <item x="107"/>
        <item x="112"/>
        <item x="98"/>
        <item x="55"/>
        <item x="10"/>
        <item x="68"/>
        <item x="86"/>
        <item x="34"/>
        <item x="122"/>
        <item x="74"/>
        <item x="116"/>
        <item x="85"/>
        <item x="72"/>
        <item x="60"/>
        <item x="42"/>
        <item x="99"/>
        <item x="25"/>
        <item x="16"/>
        <item x="1"/>
        <item x="62"/>
        <item x="12"/>
        <item x="78"/>
        <item x="53"/>
        <item x="39"/>
        <item x="41"/>
        <item x="40"/>
        <item x="73"/>
        <item x="54"/>
        <item x="101"/>
        <item x="124"/>
        <item x="81"/>
        <item x="46"/>
        <item x="71"/>
        <item x="26"/>
        <item x="105"/>
        <item x="65"/>
        <item x="102"/>
        <item x="108"/>
        <item x="95"/>
        <item x="44"/>
        <item x="3"/>
        <item x="121"/>
        <item x="5"/>
        <item x="75"/>
        <item x="4"/>
        <item x="82"/>
        <item x="126"/>
        <item x="49"/>
        <item x="50"/>
        <item x="117"/>
        <item x="15"/>
        <item x="58"/>
        <item x="69"/>
        <item x="109"/>
        <item x="127"/>
        <item x="38"/>
        <item x="36"/>
        <item x="14"/>
        <item x="59"/>
        <item x="18"/>
        <item x="23"/>
        <item x="21"/>
        <item x="30"/>
        <item x="125"/>
        <item x="11"/>
        <item x="89"/>
        <item x="19"/>
        <item x="118"/>
        <item x="104"/>
        <item x="87"/>
        <item x="35"/>
        <item x="0"/>
        <item x="56"/>
        <item x="13"/>
        <item x="111"/>
        <item x="110"/>
        <item x="27"/>
        <item x="115"/>
        <item x="52"/>
        <item x="63"/>
        <item x="43"/>
        <item x="119"/>
        <item x="103"/>
        <item x="88"/>
        <item x="123"/>
        <item x="91"/>
        <item x="93"/>
        <item x="31"/>
        <item x="51"/>
        <item x="114"/>
        <item x="7"/>
        <item x="97"/>
        <item x="76"/>
        <item x="32"/>
        <item x="61"/>
        <item x="45"/>
        <item x="17"/>
        <item x="33"/>
        <item x="79"/>
        <item x="80"/>
        <item x="120"/>
        <item x="37"/>
        <item x="96"/>
        <item x="106"/>
        <item x="128"/>
        <item x="66"/>
        <item x="48"/>
        <item x="29"/>
        <item x="47"/>
        <item x="6"/>
        <item x="77"/>
        <item x="90"/>
        <item t="default"/>
      </items>
    </pivotField>
    <pivotField showAll="0"/>
    <pivotField axis="axisPage" dataField="1" showAll="0">
      <items count="50">
        <item x="2"/>
        <item x="16"/>
        <item x="21"/>
        <item x="8"/>
        <item x="42"/>
        <item x="13"/>
        <item x="40"/>
        <item x="41"/>
        <item x="22"/>
        <item x="5"/>
        <item x="27"/>
        <item x="36"/>
        <item x="11"/>
        <item x="23"/>
        <item x="38"/>
        <item x="17"/>
        <item x="48"/>
        <item x="31"/>
        <item x="3"/>
        <item x="43"/>
        <item x="15"/>
        <item x="34"/>
        <item x="39"/>
        <item x="37"/>
        <item x="35"/>
        <item x="7"/>
        <item x="24"/>
        <item x="14"/>
        <item x="12"/>
        <item x="30"/>
        <item x="25"/>
        <item x="46"/>
        <item x="0"/>
        <item x="33"/>
        <item x="6"/>
        <item x="19"/>
        <item x="45"/>
        <item x="44"/>
        <item x="10"/>
        <item x="28"/>
        <item x="32"/>
        <item x="18"/>
        <item x="4"/>
        <item x="47"/>
        <item x="26"/>
        <item x="29"/>
        <item x="20"/>
        <item x="9"/>
        <item x="1"/>
        <item t="default"/>
      </items>
    </pivotField>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0"/>
    <field x="9"/>
    <field x="4"/>
  </rowFields>
  <rowItems count="7">
    <i>
      <x v="1"/>
    </i>
    <i>
      <x v="2"/>
    </i>
    <i>
      <x v="3"/>
    </i>
    <i>
      <x v="4"/>
    </i>
    <i>
      <x v="5"/>
    </i>
    <i>
      <x v="6"/>
    </i>
    <i t="grand">
      <x/>
    </i>
  </rowItems>
  <colFields count="1">
    <field x="2"/>
  </colFields>
  <colItems count="2">
    <i>
      <x v="2"/>
    </i>
    <i t="grand">
      <x/>
    </i>
  </colItems>
  <pageFields count="1">
    <pageField fld="6" hier="-1"/>
  </pageFields>
  <dataFields count="1">
    <dataField name="Count of Readmission Date" fld="6"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24394A-08E0-4445-97AB-5A5F7168048F}" name="PivotDays" cacheId="0" applyNumberFormats="0" applyBorderFormats="0" applyFontFormats="0" applyPatternFormats="0" applyAlignmentFormats="0" applyWidthHeightFormats="1" dataCaption="Values" grandTotalCaption="Average" updatedVersion="8" minRefreshableVersion="3" useAutoFormatting="1" itemPrintTitles="1" createdVersion="8" indent="0" compact="0" compactData="0" multipleFieldFilters="0" chartFormat="14">
  <location ref="E17:F23" firstHeaderRow="1" firstDataRow="1" firstDataCol="1"/>
  <pivotFields count="10">
    <pivotField axis="axisRow" compact="0" outline="0"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9" outline="0" showAll="0"/>
    <pivotField dataField="1" compact="0" outline="0" showAll="0"/>
    <pivotField compact="0" outline="0" showAll="0"/>
    <pivotField compact="0" numFmtId="9" outline="0" showAll="0"/>
    <pivotField compact="0" outline="0" showAll="0"/>
    <pivotField compact="0" numFmtId="9" outline="0" showAll="0"/>
    <pivotField compact="0" numFmtId="9" outline="0" showAll="0"/>
  </pivotFields>
  <rowFields count="1">
    <field x="0"/>
  </rowFields>
  <rowItems count="6">
    <i>
      <x v="4"/>
    </i>
    <i>
      <x v="1"/>
    </i>
    <i>
      <x v="3"/>
    </i>
    <i>
      <x/>
    </i>
    <i>
      <x v="2"/>
    </i>
    <i t="grand">
      <x/>
    </i>
  </rowItems>
  <colItems count="1">
    <i/>
  </colItems>
  <dataFields count="1">
    <dataField name="Average of Average Days Between Initial Discharge " fld="4" subtotal="average" baseField="0" baseItem="0"/>
  </dataFields>
  <chartFormats count="1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0" count="1" selected="0">
            <x v="2"/>
          </reference>
        </references>
      </pivotArea>
    </chartFormat>
    <chartFormat chart="12" format="10">
      <pivotArea type="data" outline="0" fieldPosition="0">
        <references count="2">
          <reference field="4294967294" count="1" selected="0">
            <x v="0"/>
          </reference>
          <reference field="0" count="1" selected="0">
            <x v="0"/>
          </reference>
        </references>
      </pivotArea>
    </chartFormat>
    <chartFormat chart="12" format="11">
      <pivotArea type="data" outline="0" fieldPosition="0">
        <references count="2">
          <reference field="4294967294" count="1" selected="0">
            <x v="0"/>
          </reference>
          <reference field="0" count="1" selected="0">
            <x v="3"/>
          </reference>
        </references>
      </pivotArea>
    </chartFormat>
    <chartFormat chart="12" format="12">
      <pivotArea type="data" outline="0" fieldPosition="0">
        <references count="2">
          <reference field="4294967294" count="1" selected="0">
            <x v="0"/>
          </reference>
          <reference field="0" count="1" selected="0">
            <x v="1"/>
          </reference>
        </references>
      </pivotArea>
    </chartFormat>
    <chartFormat chart="12" format="13">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887DAD-F7FD-4AD1-807F-9A0252EF4442}" name="PivotWithoutPDV" cacheId="0" applyNumberFormats="0" applyBorderFormats="0" applyFontFormats="0" applyPatternFormats="0" applyAlignmentFormats="0" applyWidthHeightFormats="1" dataCaption="Values" grandTotalCaption="Average" updatedVersion="8" minRefreshableVersion="3" useAutoFormatting="1" itemPrintTitles="1" createdVersion="8" indent="0" compact="0" compactData="0" multipleFieldFilters="0" chartFormat="15">
  <location ref="A28:B34" firstHeaderRow="1" firstDataRow="1" firstDataCol="1"/>
  <pivotFields count="10">
    <pivotField axis="axisRow" compact="0" outline="0"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9" outline="0" showAll="0"/>
    <pivotField compact="0" outline="0" showAll="0"/>
    <pivotField compact="0" outline="0" showAll="0"/>
    <pivotField compact="0" numFmtId="9" outline="0" showAll="0"/>
    <pivotField compact="0" outline="0" showAll="0"/>
    <pivotField compact="0" numFmtId="9" outline="0" showAll="0"/>
    <pivotField dataField="1" compact="0" numFmtId="9" outline="0" showAll="0"/>
  </pivotFields>
  <rowFields count="1">
    <field x="0"/>
  </rowFields>
  <rowItems count="6">
    <i>
      <x v="3"/>
    </i>
    <i>
      <x/>
    </i>
    <i>
      <x v="4"/>
    </i>
    <i>
      <x v="2"/>
    </i>
    <i>
      <x v="1"/>
    </i>
    <i t="grand">
      <x/>
    </i>
  </rowItems>
  <colItems count="1">
    <i/>
  </colItems>
  <dataFields count="1">
    <dataField name="Percent of Readmissions without PDV " fld="9" subtotal="average" baseField="0" baseItem="0" numFmtId="9"/>
  </dataFields>
  <formats count="1">
    <format dxfId="6">
      <pivotArea dataOnly="0" labelOnly="1" outline="0" axis="axisValues" fieldPosition="0"/>
    </format>
  </formats>
  <chartFormats count="1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401854-5B0C-4018-8426-FF9630F07D45}" name="PivotPDV%" cacheId="0" applyNumberFormats="0" applyBorderFormats="0" applyFontFormats="0" applyPatternFormats="0" applyAlignmentFormats="0" applyWidthHeightFormats="1" dataCaption="Values" grandTotalCaption="Average" updatedVersion="8" minRefreshableVersion="3" useAutoFormatting="1" itemPrintTitles="1" createdVersion="8" indent="0" compact="0" compactData="0" multipleFieldFilters="0">
  <location ref="E29:F35" firstHeaderRow="1" firstDataRow="1" firstDataCol="1"/>
  <pivotFields count="10">
    <pivotField axis="axisRow" compact="0" outline="0"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numFmtId="9" outline="0" showAll="0"/>
    <pivotField compact="0" outline="0" showAll="0"/>
    <pivotField compact="0" outline="0" showAll="0"/>
    <pivotField compact="0" numFmtId="9" outline="0" showAll="0"/>
    <pivotField compact="0" outline="0" showAll="0"/>
    <pivotField compact="0" numFmtId="9" outline="0" showAll="0"/>
    <pivotField compact="0" numFmtId="9" outline="0" showAll="0"/>
  </pivotFields>
  <rowFields count="1">
    <field x="0"/>
  </rowFields>
  <rowItems count="6">
    <i>
      <x v="1"/>
    </i>
    <i>
      <x/>
    </i>
    <i>
      <x v="2"/>
    </i>
    <i>
      <x v="4"/>
    </i>
    <i>
      <x v="3"/>
    </i>
    <i t="grand">
      <x/>
    </i>
  </rowItems>
  <colItems count="1">
    <i/>
  </colItems>
  <dataFields count="1">
    <dataField name="     Percentage of PDV Completed " fld="3"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DDFB1E-9906-4DEB-8594-33C0E252FC59}" name="PivotReadmi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F44:G50" firstHeaderRow="1" firstDataRow="1" firstDataCol="1"/>
  <pivotFields count="10">
    <pivotField axis="axisRow" compact="0" outline="0"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9" outline="0" showAll="0"/>
    <pivotField compact="0" outline="0" showAll="0"/>
    <pivotField compact="0" outline="0" showAll="0"/>
    <pivotField dataField="1" compact="0" numFmtId="9" outline="0" showAll="0"/>
    <pivotField compact="0" outline="0" showAll="0"/>
    <pivotField compact="0" numFmtId="9" outline="0" showAll="0"/>
    <pivotField compact="0" numFmtId="9" outline="0" showAll="0"/>
  </pivotFields>
  <rowFields count="1">
    <field x="0"/>
  </rowFields>
  <rowItems count="6">
    <i>
      <x v="3"/>
    </i>
    <i>
      <x v="4"/>
    </i>
    <i>
      <x v="1"/>
    </i>
    <i>
      <x v="2"/>
    </i>
    <i>
      <x/>
    </i>
    <i t="grand">
      <x/>
    </i>
  </rowItems>
  <colItems count="1">
    <i/>
  </colItems>
  <dataFields count="1">
    <dataField name=" Readmissions Rate " fld="6" subtotal="average" baseField="0" baseItem="0" numFmtId="9"/>
  </dataFields>
  <chartFormats count="1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0" count="1" selected="0">
            <x v="3"/>
          </reference>
        </references>
      </pivotArea>
    </chartFormat>
    <chartFormat chart="12" format="10">
      <pivotArea type="data" outline="0" fieldPosition="0">
        <references count="2">
          <reference field="4294967294" count="1" selected="0">
            <x v="0"/>
          </reference>
          <reference field="0" count="1" selected="0">
            <x v="4"/>
          </reference>
        </references>
      </pivotArea>
    </chartFormat>
    <chartFormat chart="12" format="11">
      <pivotArea type="data" outline="0" fieldPosition="0">
        <references count="2">
          <reference field="4294967294" count="1" selected="0">
            <x v="0"/>
          </reference>
          <reference field="0" count="1" selected="0">
            <x v="1"/>
          </reference>
        </references>
      </pivotArea>
    </chartFormat>
    <chartFormat chart="12" format="12">
      <pivotArea type="data" outline="0" fieldPosition="0">
        <references count="2">
          <reference field="4294967294" count="1" selected="0">
            <x v="0"/>
          </reference>
          <reference field="0" count="1" selected="0">
            <x v="2"/>
          </reference>
        </references>
      </pivotArea>
    </chartFormat>
    <chartFormat chart="12" format="13">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10293B-F6A4-4F97-88C9-EC9DF9AF24EA}" name="PivotReadminCoun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38:D44" firstHeaderRow="1" firstDataRow="1" firstDataCol="1"/>
  <pivotFields count="10">
    <pivotField axis="axisRow" compact="0" outline="0"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9" outline="0" showAll="0"/>
    <pivotField compact="0" outline="0" showAll="0"/>
    <pivotField dataField="1" compact="0" outline="0" showAll="0"/>
    <pivotField compact="0" numFmtId="9" outline="0" showAll="0"/>
    <pivotField compact="0" outline="0" showAll="0"/>
    <pivotField compact="0" numFmtId="9" outline="0" showAll="0"/>
    <pivotField compact="0" numFmtId="9" outline="0" showAll="0"/>
  </pivotFields>
  <rowFields count="1">
    <field x="0"/>
  </rowFields>
  <rowItems count="6">
    <i>
      <x v="1"/>
    </i>
    <i>
      <x v="4"/>
    </i>
    <i>
      <x/>
    </i>
    <i>
      <x v="3"/>
    </i>
    <i>
      <x v="2"/>
    </i>
    <i t="grand">
      <x/>
    </i>
  </rowItems>
  <colItems count="1">
    <i/>
  </colItems>
  <dataFields count="1">
    <dataField name="    Count of Readmission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D3ACFB-16F7-4934-903A-0BE1E12B6DE8}" name="PivotPDVCoun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6:B22" firstHeaderRow="1" firstDataRow="1" firstDataCol="1"/>
  <pivotFields count="10">
    <pivotField axis="axisRow" compact="0" outline="0"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9" outline="0" showAll="0"/>
    <pivotField compact="0" outline="0" showAll="0"/>
    <pivotField compact="0" outline="0" showAll="0"/>
    <pivotField compact="0" numFmtId="9" outline="0" showAll="0"/>
    <pivotField dataField="1" compact="0" outline="0" showAll="0"/>
    <pivotField compact="0" numFmtId="9" outline="0" showAll="0"/>
    <pivotField compact="0" numFmtId="9" outline="0" showAll="0"/>
  </pivotFields>
  <rowFields count="1">
    <field x="0"/>
  </rowFields>
  <rowItems count="6">
    <i>
      <x v="1"/>
    </i>
    <i>
      <x v="4"/>
    </i>
    <i>
      <x v="2"/>
    </i>
    <i>
      <x/>
    </i>
    <i>
      <x v="3"/>
    </i>
    <i t="grand">
      <x/>
    </i>
  </rowItems>
  <colItems count="1">
    <i/>
  </colItems>
  <dataFields count="1">
    <dataField name="               Count of PDV Complete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C8F091-936E-4512-B2E9-BF5EDEE6E6E7}"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5:I11" firstHeaderRow="0" firstDataRow="1" firstDataCol="1"/>
  <pivotFields count="7">
    <pivotField axis="axisRow" compact="0" outline="0" showAll="0">
      <items count="6">
        <item x="3"/>
        <item x="0"/>
        <item x="1"/>
        <item x="4"/>
        <item x="2"/>
        <item t="default"/>
      </items>
    </pivotField>
    <pivotField dataField="1" compact="0" outline="0" showAll="0"/>
    <pivotField dataField="1" compact="0" numFmtId="9" outline="0" showAll="0"/>
    <pivotField dataField="1" compact="0" outline="0" showAll="0"/>
    <pivotField dataField="1" compact="0" numFmtId="9" outline="0" showAll="0"/>
    <pivotField dataField="1" compact="0" numFmtId="9" outline="0" showAll="0"/>
    <pivotField dataField="1" compact="0" numFmtId="9" outline="0" showAll="0"/>
  </pivotFields>
  <rowFields count="1">
    <field x="0"/>
  </rowFields>
  <rowItems count="6">
    <i>
      <x/>
    </i>
    <i>
      <x v="1"/>
    </i>
    <i>
      <x v="2"/>
    </i>
    <i>
      <x v="3"/>
    </i>
    <i>
      <x v="4"/>
    </i>
    <i t="grand">
      <x/>
    </i>
  </rowItems>
  <colFields count="1">
    <field x="-2"/>
  </colFields>
  <colItems count="6">
    <i>
      <x/>
    </i>
    <i i="1">
      <x v="1"/>
    </i>
    <i i="2">
      <x v="2"/>
    </i>
    <i i="3">
      <x v="3"/>
    </i>
    <i i="4">
      <x v="4"/>
    </i>
    <i i="5">
      <x v="5"/>
    </i>
  </colItems>
  <dataFields count="6">
    <dataField name="Count of Admissions" fld="1" baseField="0" baseItem="0"/>
    <dataField name="Average of PDV Comleted " fld="2" subtotal="average" baseField="0" baseItem="0" numFmtId="9"/>
    <dataField name="Days  Between Discharge and PDV" fld="3" baseField="0" baseItem="0"/>
    <dataField name=" Readmission Rate " fld="4" subtotal="average" baseField="0" baseItem="0" numFmtId="9"/>
    <dataField name=" Readmission Rate PDV " fld="6" subtotal="average" baseField="0" baseItem="0" numFmtId="9"/>
    <dataField name=" Readmission Rate (No PDV)" fld="5"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s1" xr10:uid="{9BA18F03-3FAC-466D-ABD1-12B096F11FD2}" sourceName="Regions">
  <pivotTables>
    <pivotTable tabId="18" name="PivotPDVCount"/>
    <pivotTable tabId="18" name="PivotDays"/>
    <pivotTable tabId="18" name="PivotPDV%"/>
    <pivotTable tabId="18" name="PivotPDVReadmin"/>
    <pivotTable tabId="18" name="PivotWithoutPDV"/>
    <pivotTable tabId="18" name="PivotReadminCount"/>
    <pivotTable tabId="18" name="PivotReadmin"/>
  </pivotTables>
  <data>
    <tabular pivotCacheId="302759226">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3FC5DA-89B8-1E4E-89C1-DCA94D9DCF3C}" sourceName="Region">
  <pivotTables>
    <pivotTable tabId="21" name="PivotLineGraph"/>
    <pivotTable tabId="18" name="PivotRegionsReadmin"/>
  </pivotTables>
  <data>
    <tabular pivotCacheId="969529891">
      <items count="5">
        <i x="1"/>
        <i x="2"/>
        <i x="4" s="1"/>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9C15BAA-7535-4E41-9F65-2834F14F8575}" cache="Slicer_Region" caption="Region"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s 1" xr10:uid="{CD676451-2C2A-4C55-8453-A1B5B83F69B3}" cache="Slicer_Regions1" caption="Regions" style="SlicerStyleLight4" rowHeight="2286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A719D4B-18AE-BC42-83B2-EB3A653E575B}" cache="Slicer_Region" caption="Region"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2A3C07-A378-4ECD-86C3-E61D71361CC5}" name="Table_IL" displayName="Table_IL" ref="A1:S80" totalsRowShown="0" tableBorderDxfId="80">
  <autoFilter ref="A1:S80" xr:uid="{B22A3C07-A378-4ECD-86C3-E61D71361CC5}"/>
  <sortState xmlns:xlrd2="http://schemas.microsoft.com/office/spreadsheetml/2017/richdata2" ref="A2:S80">
    <sortCondition ref="A1:A80"/>
  </sortState>
  <tableColumns count="19">
    <tableColumn id="1" xr3:uid="{C4B60678-3A0D-40A6-8DA5-C48A7A0B36CA}" name="Record" dataDxfId="79"/>
    <tableColumn id="2" xr3:uid="{B4CAD2DD-9B9A-447E-AD0E-7750591388B7}" name="Patient ID" dataDxfId="78"/>
    <tableColumn id="3" xr3:uid="{3217BFD6-6195-4C73-9979-F82891BE32DC}" name="Region" dataDxfId="77"/>
    <tableColumn id="4" xr3:uid="{8C3880F8-5DA4-499C-B9FC-C56343326330}" name="Admission Date 1" dataDxfId="76"/>
    <tableColumn id="5" xr3:uid="{EA5FA0A5-41B1-40CB-8C31-942442C723A0}" name="Discharge Date 1" dataDxfId="75"/>
    <tableColumn id="6" xr3:uid="{FBF3CB88-1364-49E0-ADFF-4C11445A9363}" name="Post-Discharge Visit Date" dataDxfId="74"/>
    <tableColumn id="7" xr3:uid="{80753C36-3CB1-4CBD-A60D-E82447C6AEC6}" name="Readmission Date" dataDxfId="73"/>
    <tableColumn id="8" xr3:uid="{39DF913F-7EF0-492F-ABD7-602B0644180A}" name="Readmission Discharge Date" dataDxfId="72"/>
    <tableColumn id="9" xr3:uid="{8822934B-DFF3-4203-B759-85E3FD08FD03}" name="PDV Completed " dataDxfId="71">
      <calculatedColumnFormula>IF(ISBLANK(F2),0,1)</calculatedColumnFormula>
    </tableColumn>
    <tableColumn id="13" xr3:uid="{0CE9BA64-6061-441A-957A-EC75CF93108F}" name="Days Between Initial discharge and PDV " dataDxfId="70">
      <calculatedColumnFormula>DATEDIF(E2,F2,"d")</calculatedColumnFormula>
    </tableColumn>
    <tableColumn id="10" xr3:uid="{6A1E15D2-252E-4D38-B176-446FB1278F01}" name="Count of Admissions" dataDxfId="69">
      <calculatedColumnFormula>COUNT(Table_IL[Patient ID])</calculatedColumnFormula>
    </tableColumn>
    <tableColumn id="11" xr3:uid="{78E2B927-80BF-43A7-8E0C-DB0154C0CD20}" name="Count of PDV completed "/>
    <tableColumn id="12" xr3:uid="{BC01437C-44E4-4BC5-8630-842158D35AAE}" name="Percentage of PDV Completed "/>
    <tableColumn id="15" xr3:uid="{E6D7722C-0821-402B-B47A-39B9ED87EEB3}" name="Average Days Between Initial Discharge and PDV" dataDxfId="68">
      <calculatedColumnFormula>AVERAGE(Table_IL[[Days Between Initial discharge and PDV ]])</calculatedColumnFormula>
    </tableColumn>
    <tableColumn id="14" xr3:uid="{F1CA5FE3-7123-4861-9CA8-06E5313D6A4A}" name="Count of Readmissions " dataDxfId="67">
      <calculatedColumnFormula>COUNTA(Table_IL[Readmission Date])</calculatedColumnFormula>
    </tableColumn>
    <tableColumn id="16" xr3:uid="{C09BC301-F1F4-4F2B-BEAC-32C72D7205BA}" name="Percentage of Readmissions" dataDxfId="66">
      <calculatedColumnFormula>Table_IL[[#This Row],[Average Days Between Initial Discharge and PDV]]/Table_IL[[#This Row],[Count of Admissions]]</calculatedColumnFormula>
    </tableColumn>
    <tableColumn id="18" xr3:uid="{54597E71-79D3-4E3E-A50E-90150C93544A}" name="Count of Readmissions with PDV " dataDxfId="65">
      <calculatedColumnFormula>COUNTIFS(G2:G80, "&gt;" &amp; 0, I2:I80, 1)</calculatedColumnFormula>
    </tableColumn>
    <tableColumn id="17" xr3:uid="{E49ADBE2-04D8-475B-BECA-AA4599CDE95B}" name="Percentage of Readmissions after PDV" dataDxfId="64">
      <calculatedColumnFormula>Table_IL[[#This Row],[Count of Readmissions with PDV ]]/Table_IL[[#This Row],[Count of Readmissions ]]</calculatedColumnFormula>
    </tableColumn>
    <tableColumn id="19" xr3:uid="{E20EB998-4F11-49F0-A934-6A946ACF5149}" name="Percentage of Readmissions without PDV" dataDxfId="63">
      <calculatedColumnFormula>4/Table_IL[[#This Row],[Count of Readmissions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DFE900B-FBBF-4DBB-B2FC-E96300DE1E3A}" name="Table5" displayName="Table5" ref="A1:S66" totalsRowShown="0">
  <autoFilter ref="A1:S66" xr:uid="{3DFE900B-FBBF-4DBB-B2FC-E96300DE1E3A}"/>
  <tableColumns count="19">
    <tableColumn id="1" xr3:uid="{57E8F470-4AB2-452B-9975-2CC2F146BFE6}" name="Record"/>
    <tableColumn id="2" xr3:uid="{D08BD1D1-39B6-45A2-8C21-CD17837F49B7}" name="Patient ID"/>
    <tableColumn id="3" xr3:uid="{E26C6C50-1FF1-4BD0-9065-14446DBAF023}" name="Region"/>
    <tableColumn id="4" xr3:uid="{978B8141-D197-424C-AB10-FCBCD8F99B2D}" name="Admission Date 1"/>
    <tableColumn id="5" xr3:uid="{C997A559-E087-42E4-9C0E-2527612EE045}" name="Discharge Date 1"/>
    <tableColumn id="6" xr3:uid="{F503F46C-428A-4022-9F88-271ED3DF7D8E}" name="Post-Discharge Visit Date"/>
    <tableColumn id="7" xr3:uid="{99FD00C0-946F-46DF-B0A2-F93814B4DF4D}" name="Readmission Date"/>
    <tableColumn id="8" xr3:uid="{EA845CB5-92A1-426F-B5FD-6D0C618DBBCB}" name="Readmission Discharge Date"/>
    <tableColumn id="9" xr3:uid="{40835AEA-13AB-400B-A8A5-04276C11075A}" name="PDV Completed " dataDxfId="62"/>
    <tableColumn id="20" xr3:uid="{0B44D8A2-2AB3-417E-B702-464431B09844}" name="Days Between Initial Discharge and PDV " dataDxfId="61"/>
    <tableColumn id="10" xr3:uid="{52183957-D218-417A-B230-7559DE2258DD}" name="Count of Admissions" dataDxfId="60">
      <calculatedColumnFormula>COUNT(B2:B66)</calculatedColumnFormula>
    </tableColumn>
    <tableColumn id="11" xr3:uid="{1924E5EA-CDD7-426B-8AAD-2C1727351CA9}" name="Count of PDV Completed"/>
    <tableColumn id="12" xr3:uid="{A91ADF5B-CE19-4BAB-85D8-C38D80719C58}" name="Percentage of PDV "/>
    <tableColumn id="14" xr3:uid="{4081B5B6-F2AF-4CFD-91B2-1B5EF64EE5B2}" name="Average Days Between Initial Discharge and PDV " dataDxfId="59">
      <calculatedColumnFormula>AVERAGE(Table5[[Days Between Initial Discharge and PDV ]])</calculatedColumnFormula>
    </tableColumn>
    <tableColumn id="15" xr3:uid="{8CE3ACAC-89AB-4586-845C-31BA0800832F}" name="Count of Readmissions " dataDxfId="58">
      <calculatedColumnFormula>COUNTA(Table5[Readmission Date])</calculatedColumnFormula>
    </tableColumn>
    <tableColumn id="16" xr3:uid="{B86F36E2-AEB8-4DB1-BBD5-83D52C18D54C}" name="Percentage of Readmissions" dataDxfId="57">
      <calculatedColumnFormula>Table5[[#This Row],[Count of Readmissions ]]/K2</calculatedColumnFormula>
    </tableColumn>
    <tableColumn id="17" xr3:uid="{5D53BCCA-A6BF-41F4-8BCD-962837B69B6A}" name="Count of Readmissions with PDV " dataDxfId="56">
      <calculatedColumnFormula>COUNTIFS(G2:G66, "&gt;" &amp; 0, I2:I66, 1)</calculatedColumnFormula>
    </tableColumn>
    <tableColumn id="18" xr3:uid="{6F4439D1-53E6-4787-9C75-DF2143B8DF0A}" name="Percentage of Readmissions with PDV" dataDxfId="55">
      <calculatedColumnFormula>Table5[[#This Row],[Count of Readmissions with PDV ]]/Table5[[#This Row],[Count of Readmissions ]]</calculatedColumnFormula>
    </tableColumn>
    <tableColumn id="19" xr3:uid="{74845B5C-71FA-4015-A770-8E955B965AF1}" name="Percentage of Readmissions without PDV" dataDxfId="54">
      <calculatedColumnFormula>2/Table5[[#This Row],[Count of Readmissions ]]</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A8D715A-3C54-435E-9D5D-C582E2E787BD}" name="Table6" displayName="Table6" ref="A1:S65" totalsRowShown="0" tableBorderDxfId="53">
  <autoFilter ref="A1:S65" xr:uid="{8A8D715A-3C54-435E-9D5D-C582E2E787BD}"/>
  <tableColumns count="19">
    <tableColumn id="1" xr3:uid="{A77C0E80-448F-46E0-BF15-5BDFE602355E}" name="Record" dataDxfId="52"/>
    <tableColumn id="2" xr3:uid="{19E80017-40D0-4A9B-BE3B-82899FD61A26}" name="Patient ID" dataDxfId="51"/>
    <tableColumn id="3" xr3:uid="{60202682-7D33-4871-98F9-07799C5D0E7E}" name="Region" dataDxfId="50"/>
    <tableColumn id="4" xr3:uid="{E537B366-DDEC-424C-AD53-723DB5B92C5F}" name="Admission Date 1" dataDxfId="49"/>
    <tableColumn id="5" xr3:uid="{DD73DAA5-DB87-407A-8148-6CF17CF3B6DB}" name="Discharge Date 1" dataDxfId="48"/>
    <tableColumn id="6" xr3:uid="{153F7D85-3AB0-405A-AD7F-4107AE6CB55A}" name="Post-Discharge Visit Date" dataDxfId="47"/>
    <tableColumn id="7" xr3:uid="{044A81AB-CBDF-415E-8DA1-0AE001DD625A}" name="Readmission Date"/>
    <tableColumn id="8" xr3:uid="{CA05825E-524D-4945-AFA6-579388C67DD7}" name="Readmission Discharge Date"/>
    <tableColumn id="9" xr3:uid="{ACC51D6E-9387-4A4F-9F80-BBDE166F25CB}" name="PDV Completed " dataDxfId="46">
      <calculatedColumnFormula>IF(ISBLANK(F2),0,1)</calculatedColumnFormula>
    </tableColumn>
    <tableColumn id="13" xr3:uid="{1A3C600C-BEC1-4A90-B317-1DA62AB4F8E0}" name="Days Between Initial Dicharge and PDV " dataDxfId="45">
      <calculatedColumnFormula>DATEDIF(Table6[[#This Row],[Discharge Date 1]],Table6[[#This Row],[Post-Discharge Visit Date]],"d")</calculatedColumnFormula>
    </tableColumn>
    <tableColumn id="10" xr3:uid="{9F4F6C4E-908B-4FD1-AB98-2DC63074FC5C}" name="Count of Admissions "/>
    <tableColumn id="11" xr3:uid="{DB0425B6-4B80-49B1-BBF1-3A49390715AE}" name="Count of Completed PDV"/>
    <tableColumn id="12" xr3:uid="{A220E5DE-9B54-49E4-87D0-6FE1965CD7AF}" name="Percentage of PDV Completed "/>
    <tableColumn id="14" xr3:uid="{8681B77D-3856-462F-9324-98A043CBA5C5}" name="Average Days Between Discharge and " dataDxfId="44">
      <calculatedColumnFormula>AVERAGE(Table6[[Days Between Initial Dicharge and PDV ]])</calculatedColumnFormula>
    </tableColumn>
    <tableColumn id="15" xr3:uid="{2F7F5A51-977B-4339-A172-9B24E3AB3FCA}" name="Count of Readmissions" dataDxfId="43">
      <calculatedColumnFormula>COUNTA(Table6[Readmission Date])</calculatedColumnFormula>
    </tableColumn>
    <tableColumn id="19" xr3:uid="{93A1ED25-6C25-4588-88F5-EB2F99B83ED0}" name="Percentage of Readmissions" dataDxfId="42">
      <calculatedColumnFormula>Table6[[#This Row],[Count of Readmissions]]/Table6[[#This Row],[Count of Admissions ]]</calculatedColumnFormula>
    </tableColumn>
    <tableColumn id="18" xr3:uid="{A53BA74E-FB62-49D2-83F3-7BBCB81C5D72}" name="Count of Readmissions with PDV " dataDxfId="41">
      <calculatedColumnFormula>COUNTIFS(G2:G65, "&gt;" &amp; 0, I2:I65, 1)</calculatedColumnFormula>
    </tableColumn>
    <tableColumn id="16" xr3:uid="{68DD2045-3D3E-4B7F-9F4C-7A10C1B3AAD3}" name="Percentage of Readmissions with PDV" dataDxfId="40">
      <calculatedColumnFormula>Table6[[#This Row],[Count of Readmissions with PDV ]]/Table6[[#This Row],[Count of Readmissions]]</calculatedColumnFormula>
    </tableColumn>
    <tableColumn id="17" xr3:uid="{3578C8E1-9F62-4107-B074-489133AE5D2A}" name="Percent of Readmissions without PDV " dataDxfId="39">
      <calculatedColumnFormula>2/Table6[[#This Row],[Count of Readmissions]]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3285042-F09F-48F0-9E5F-0B7F6142A62E}" name="Table7" displayName="Table7" ref="A1:S42" totalsRowShown="0" tableBorderDxfId="38">
  <autoFilter ref="A1:S42" xr:uid="{93285042-F09F-48F0-9E5F-0B7F6142A62E}"/>
  <tableColumns count="19">
    <tableColumn id="1" xr3:uid="{47DBC8D7-D6F2-4B42-86BB-60D262FAC54C}" name="Record" dataDxfId="37"/>
    <tableColumn id="2" xr3:uid="{9CA28BB2-524B-45FF-823F-90B290F71606}" name="Patient ID" dataDxfId="36"/>
    <tableColumn id="3" xr3:uid="{57757E77-393D-4740-913D-DC34273FDE5D}" name="Region" dataDxfId="35"/>
    <tableColumn id="4" xr3:uid="{D935ECA6-70EF-40C4-94E6-9E8045C60A31}" name="Admission Date 1" dataDxfId="34"/>
    <tableColumn id="5" xr3:uid="{7E9D2082-F5E8-4221-ACB6-334EC7119C81}" name="Discharge Date 1" dataDxfId="33"/>
    <tableColumn id="6" xr3:uid="{A656F4C7-51BC-499A-B3EA-96A24D8B0539}" name="Post-Discharge Visit Date"/>
    <tableColumn id="7" xr3:uid="{7BF18428-3BCB-474B-A38A-50A835F4B9D7}" name="Readmission Date" dataDxfId="32"/>
    <tableColumn id="8" xr3:uid="{A38D4DE6-6393-4C31-8287-7313A2A9F8E7}" name="Readmission Discharge Date" dataDxfId="31"/>
    <tableColumn id="9" xr3:uid="{C5FBD5CB-5C03-4CE2-8BF4-851F026D81D9}" name="PDV Completed " dataDxfId="30">
      <calculatedColumnFormula>IF(ISBLANK(F2),0,1)</calculatedColumnFormula>
    </tableColumn>
    <tableColumn id="13" xr3:uid="{AE5DDD22-D978-476F-A237-0A981A4C3C4F}" name="Days Between Initial Discharge and PDV " dataDxfId="29">
      <calculatedColumnFormula>DATEDIF(Table7[[#This Row],[Discharge Date 1]],Table7[[#This Row],[Post-Discharge Visit Date]],"d")</calculatedColumnFormula>
    </tableColumn>
    <tableColumn id="10" xr3:uid="{EFF9DEAA-1AAB-4E79-8A1B-27CE57AC1B09}" name="Count of Admissions " dataDxfId="28"/>
    <tableColumn id="11" xr3:uid="{C70FAFB5-B18B-408E-BF6D-75C7BF6BF427}" name="Count of PDV Completed "/>
    <tableColumn id="12" xr3:uid="{D4267533-5ED9-4DD0-90B4-EBAF7B3B461E}" name="Percentage of PDV Completed "/>
    <tableColumn id="14" xr3:uid="{88AFF55E-252B-44E7-83F7-CA23A701D539}" name="Average Days Between Discharge and PDV " dataDxfId="27">
      <calculatedColumnFormula>_xleta.AVERAGE</calculatedColumnFormula>
    </tableColumn>
    <tableColumn id="15" xr3:uid="{4E98A706-0416-443B-8046-683E1713C134}" name="Count of Readmissions" dataDxfId="26">
      <calculatedColumnFormula>COUNTA(Table7[Readmission Date])</calculatedColumnFormula>
    </tableColumn>
    <tableColumn id="16" xr3:uid="{06CA0172-C7C3-489F-8C90-9982FA066E90}" name="Percentage of Readmissions" dataDxfId="25">
      <calculatedColumnFormula>Table7[[#This Row],[Count of Readmissions]]/Table7[[#This Row],[Count of Admissions ]]</calculatedColumnFormula>
    </tableColumn>
    <tableColumn id="19" xr3:uid="{3AD5DB1B-E537-47F7-9E10-B55C591E1CAB}" name="Count of Readmissions with PDV " dataDxfId="24">
      <calculatedColumnFormula>COUNTIFS(G2:G42, "&gt;" &amp; 0, I2:I42, 1)</calculatedColumnFormula>
    </tableColumn>
    <tableColumn id="17" xr3:uid="{138DA2F1-633C-48E3-B90B-A956C6BDFCCA}" name="Readmissions with PDV Percent" dataDxfId="23">
      <calculatedColumnFormula>Table7[[#This Row],[Count of Readmissions with PDV ]]/Table7[[#This Row],[Count of Readmissions]]</calculatedColumnFormula>
    </tableColumn>
    <tableColumn id="18" xr3:uid="{A4B4FF2E-5111-4AF7-8266-2F573E9B0229}" name="Readmissions without PDV percentage" dataDxfId="22">
      <calculatedColumnFormula>7/Table7[[#This Row],[Count of Readmissions]]</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9FB7EA-8B26-4E92-BFEC-4ECB406C0B79}" name="Table8" displayName="Table8" ref="A1:S52" totalsRowShown="0" tableBorderDxfId="21">
  <autoFilter ref="A1:S52" xr:uid="{009FB7EA-8B26-4E92-BFEC-4ECB406C0B79}"/>
  <tableColumns count="19">
    <tableColumn id="1" xr3:uid="{8C12850D-47E2-4CDB-B4AA-906A47423AA6}" name="Record" dataDxfId="20"/>
    <tableColumn id="2" xr3:uid="{6903C5AF-74C2-429E-A012-CE52CC6E3D21}" name="Patient ID" dataDxfId="19"/>
    <tableColumn id="3" xr3:uid="{AFB0B661-F38D-4468-B776-BCAD6257B571}" name="Region" dataDxfId="18"/>
    <tableColumn id="4" xr3:uid="{EDE971D9-839E-4F90-9512-4EF5EFD9FA95}" name="Admission Date 1" dataDxfId="17"/>
    <tableColumn id="5" xr3:uid="{3036A673-39B4-4FED-B80E-53EBC21A2418}" name="Discharge Date 1" dataDxfId="16"/>
    <tableColumn id="6" xr3:uid="{2FF43628-4DF7-47F6-B237-30FDDE493ECE}" name="Post-Discharge Visit Date" dataDxfId="15"/>
    <tableColumn id="7" xr3:uid="{0B362091-F763-48B8-94E1-E0779DC253E5}" name="Readmission Date"/>
    <tableColumn id="8" xr3:uid="{FE27A815-6B8A-4242-916C-E021ECCF7696}" name="Readmission Discharge Date"/>
    <tableColumn id="9" xr3:uid="{E6C67F05-6B31-49B0-87DE-B19D4ED8F67F}" name="PDV Completed " dataDxfId="14">
      <calculatedColumnFormula>IF(ISBLANK(F2),0,1)</calculatedColumnFormula>
    </tableColumn>
    <tableColumn id="13" xr3:uid="{5F5D1DA3-6F98-4BC1-B7AB-F33C41D081E6}" name="Days Between Initial Discharge and PDV " dataDxfId="13">
      <calculatedColumnFormula>DATEDIF(Table8[[#This Row],[Discharge Date 1]],Table8[[#This Row],[Post-Discharge Visit Date]],"d")</calculatedColumnFormula>
    </tableColumn>
    <tableColumn id="10" xr3:uid="{B832F4C5-2D7A-4275-9214-DB40C7722870}" name="Count of Admissions "/>
    <tableColumn id="11" xr3:uid="{F062D955-964B-4C27-A541-C83C5F7066FC}" name="Count of Completed PDV"/>
    <tableColumn id="12" xr3:uid="{0E38E4B1-8FC5-482C-B907-8AC1F4780002}" name="Percentage  of PDV Completed "/>
    <tableColumn id="14" xr3:uid="{1713A036-7F68-4B5F-BD1D-B23F4EC839B3}" name="Average Days Between Discharge and PDV " dataDxfId="12">
      <calculatedColumnFormula>AVERAGE(Table8[[Days Between Initial Discharge and PDV ]])</calculatedColumnFormula>
    </tableColumn>
    <tableColumn id="15" xr3:uid="{12E1D6C5-3CC9-46F3-8DE2-88BC7D6F300C}" name="Count of Readmissions" dataDxfId="11">
      <calculatedColumnFormula>COUNTA(Table8[Readmission Date])</calculatedColumnFormula>
    </tableColumn>
    <tableColumn id="16" xr3:uid="{462590BC-E176-4778-9BA4-0C268ACCAB5B}" name="Percentage of Readmissions" dataDxfId="10">
      <calculatedColumnFormula>Table8[[#This Row],[Count of Readmissions]]/Table8[[#This Row],[Count of Admissions ]]</calculatedColumnFormula>
    </tableColumn>
    <tableColumn id="17" xr3:uid="{9E74D9BF-C7DF-451E-B990-5FB80CD28D03}" name="Count of Readmissions with PDV " dataDxfId="9">
      <calculatedColumnFormula>COUNTIFS(G2:G52, "&gt;" &amp; 0, I2:I52, 1)</calculatedColumnFormula>
    </tableColumn>
    <tableColumn id="18" xr3:uid="{CCEC395E-9AAF-4D71-9277-F7190DC31287}" name="Percentage of Readmissions with PDV " dataDxfId="8">
      <calculatedColumnFormula>Table8[[#This Row],[Count of Readmissions with PDV ]]/Table8[[#This Row],[Count of Readmissions]]</calculatedColumnFormula>
    </tableColumn>
    <tableColumn id="19" xr3:uid="{FA58DA0A-F95C-4997-86FA-A495601774D5}" name="Percentage of Readmissions without PDV " dataDxfId="7">
      <calculatedColumnFormula>3/Table8[[#This Row],[Count of Readmissions]]</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E5EC30-AFE9-4582-B1AF-C0EACC522501}" name="Table2" displayName="Table2" ref="F62:G68" totalsRowShown="0" headerRowDxfId="5">
  <autoFilter ref="F62:G68" xr:uid="{DEE5EC30-AFE9-4582-B1AF-C0EACC522501}"/>
  <sortState xmlns:xlrd2="http://schemas.microsoft.com/office/spreadsheetml/2017/richdata2" ref="F63:G67">
    <sortCondition ref="G62:G67"/>
  </sortState>
  <tableColumns count="2">
    <tableColumn id="1" xr3:uid="{7EEFDF14-11D9-4917-AC82-BC46D1416CFA}" name="Regions "/>
    <tableColumn id="2" xr3:uid="{F887BCE7-4C1B-4D73-9445-D8B180162142}" name="Days Between PDV and Discharge "/>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62BC31-552F-4707-8FF1-031137CBD350}" name="Table3" displayName="Table3" ref="B94:H99" totalsRowShown="0" dataDxfId="4">
  <autoFilter ref="B94:H99" xr:uid="{4B62BC31-552F-4707-8FF1-031137CBD350}"/>
  <tableColumns count="7">
    <tableColumn id="1" xr3:uid="{D5D650DF-C849-4431-8767-224D63CB0F29}" name="Region "/>
    <tableColumn id="2" xr3:uid="{5A0BEB3F-AC4B-489C-A26D-0D3C7F73673E}" name="Admissions Count "/>
    <tableColumn id="3" xr3:uid="{96CF30F9-0F58-417E-8EF3-7BB08272608E}" name="PDV Comleted " dataDxfId="3"/>
    <tableColumn id="4" xr3:uid="{5E4E88DF-6D8C-4431-9371-2B8D4089F381}" name="Days "/>
    <tableColumn id="5" xr3:uid="{27076067-5CA7-4A59-8129-D5F3599AD6E8}" name="Readmission Rate " dataDxfId="2"/>
    <tableColumn id="6" xr3:uid="{35DE6B6D-6B8B-4E60-A34A-3F8F400B6329}" name="Readmission Rate (No PDV)" dataDxfId="1"/>
    <tableColumn id="7" xr3:uid="{111D3EE6-AAB6-4730-848F-E215C5852576}" name="Readmission Rate PDV "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microsoft.com/office/2007/relationships/slicer" Target="../slicers/slicer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table" Target="../tables/table7.xml"/><Relationship Id="rId5" Type="http://schemas.openxmlformats.org/officeDocument/2006/relationships/pivotTable" Target="../pivotTables/pivotTable6.xml"/><Relationship Id="rId10" Type="http://schemas.openxmlformats.org/officeDocument/2006/relationships/table" Target="../tables/table6.xml"/><Relationship Id="rId4" Type="http://schemas.openxmlformats.org/officeDocument/2006/relationships/pivotTable" Target="../pivotTables/pivotTable5.xml"/><Relationship Id="rId9"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001"/>
  <sheetViews>
    <sheetView showGridLines="0" topLeftCell="A3" workbookViewId="0">
      <selection activeCell="B30" sqref="B30"/>
    </sheetView>
  </sheetViews>
  <sheetFormatPr baseColWidth="10" defaultColWidth="12.5" defaultRowHeight="15" customHeight="1"/>
  <cols>
    <col min="1" max="1" width="6.6640625" customWidth="1"/>
    <col min="2" max="2" width="96.1640625" customWidth="1"/>
  </cols>
  <sheetData>
    <row r="1" spans="1:26" ht="15.75" customHeight="1">
      <c r="A1" s="1"/>
      <c r="B1" s="2"/>
      <c r="C1" s="3"/>
      <c r="D1" s="3"/>
      <c r="E1" s="3"/>
      <c r="F1" s="3"/>
      <c r="G1" s="3"/>
      <c r="H1" s="3"/>
      <c r="I1" s="3"/>
      <c r="J1" s="3"/>
      <c r="K1" s="3"/>
      <c r="L1" s="3"/>
      <c r="M1" s="3"/>
      <c r="N1" s="3"/>
      <c r="O1" s="3"/>
      <c r="P1" s="3"/>
      <c r="Q1" s="3"/>
      <c r="R1" s="3"/>
      <c r="S1" s="3"/>
      <c r="T1" s="3"/>
      <c r="U1" s="3"/>
      <c r="V1" s="3"/>
      <c r="W1" s="3"/>
      <c r="X1" s="3"/>
      <c r="Y1" s="3"/>
      <c r="Z1" s="3"/>
    </row>
    <row r="2" spans="1:26" ht="15.75" customHeight="1">
      <c r="A2" s="4" t="s">
        <v>0</v>
      </c>
      <c r="B2" s="2"/>
      <c r="C2" s="3"/>
      <c r="D2" s="3"/>
      <c r="E2" s="3"/>
      <c r="F2" s="3"/>
      <c r="G2" s="3"/>
      <c r="H2" s="3"/>
      <c r="I2" s="3"/>
      <c r="J2" s="3"/>
      <c r="K2" s="3"/>
      <c r="L2" s="3"/>
      <c r="M2" s="3"/>
      <c r="N2" s="3"/>
      <c r="O2" s="3"/>
      <c r="P2" s="3"/>
      <c r="Q2" s="3"/>
      <c r="R2" s="3"/>
      <c r="S2" s="3"/>
      <c r="T2" s="3"/>
      <c r="U2" s="3"/>
      <c r="V2" s="3"/>
      <c r="W2" s="3"/>
      <c r="X2" s="3"/>
      <c r="Y2" s="3"/>
      <c r="Z2" s="3"/>
    </row>
    <row r="3" spans="1:26" ht="15.75" customHeight="1">
      <c r="A3" s="80" t="s">
        <v>1</v>
      </c>
      <c r="B3" s="81"/>
      <c r="C3" s="3"/>
      <c r="D3" s="3"/>
      <c r="E3" s="3"/>
      <c r="F3" s="3"/>
      <c r="G3" s="3"/>
      <c r="H3" s="3"/>
      <c r="I3" s="3"/>
      <c r="J3" s="3"/>
      <c r="K3" s="3"/>
      <c r="L3" s="3"/>
      <c r="M3" s="3"/>
      <c r="N3" s="3"/>
      <c r="O3" s="3"/>
      <c r="P3" s="3"/>
      <c r="Q3" s="3"/>
      <c r="R3" s="3"/>
      <c r="S3" s="3"/>
      <c r="T3" s="3"/>
      <c r="U3" s="3"/>
      <c r="V3" s="3"/>
      <c r="W3" s="3"/>
      <c r="X3" s="3"/>
      <c r="Y3" s="3"/>
      <c r="Z3" s="3"/>
    </row>
    <row r="4" spans="1:26" ht="15.75" customHeight="1">
      <c r="A4" s="71"/>
      <c r="B4" s="1"/>
      <c r="C4" s="3"/>
      <c r="D4" s="3"/>
      <c r="E4" s="3"/>
      <c r="F4" s="3"/>
      <c r="G4" s="3"/>
      <c r="H4" s="3"/>
      <c r="I4" s="3"/>
      <c r="J4" s="3"/>
      <c r="K4" s="3"/>
      <c r="L4" s="3"/>
      <c r="M4" s="3"/>
      <c r="N4" s="3"/>
      <c r="O4" s="3"/>
      <c r="P4" s="3"/>
      <c r="Q4" s="3"/>
      <c r="R4" s="3"/>
      <c r="S4" s="3"/>
      <c r="T4" s="3"/>
      <c r="U4" s="3"/>
      <c r="V4" s="3"/>
      <c r="W4" s="3"/>
      <c r="X4" s="3"/>
      <c r="Y4" s="3"/>
      <c r="Z4" s="3"/>
    </row>
    <row r="5" spans="1:26" ht="15.75" customHeight="1">
      <c r="A5" s="71" t="s">
        <v>2</v>
      </c>
      <c r="B5" s="1"/>
      <c r="C5" s="3"/>
      <c r="D5" s="3"/>
      <c r="E5" s="3"/>
      <c r="F5" s="3"/>
      <c r="G5" s="3"/>
      <c r="H5" s="3"/>
      <c r="I5" s="3"/>
      <c r="J5" s="3"/>
      <c r="K5" s="3"/>
      <c r="L5" s="3"/>
      <c r="M5" s="3"/>
      <c r="N5" s="3"/>
      <c r="O5" s="3"/>
      <c r="P5" s="3"/>
      <c r="Q5" s="3"/>
      <c r="R5" s="3"/>
      <c r="S5" s="3"/>
      <c r="T5" s="3"/>
      <c r="U5" s="3"/>
      <c r="V5" s="3"/>
      <c r="W5" s="3"/>
      <c r="X5" s="3"/>
      <c r="Y5" s="3"/>
      <c r="Z5" s="3"/>
    </row>
    <row r="6" spans="1:26" ht="15.75" customHeight="1">
      <c r="A6" s="80" t="s">
        <v>3</v>
      </c>
      <c r="B6" s="81"/>
      <c r="C6" s="3"/>
      <c r="D6" s="3"/>
      <c r="E6" s="3"/>
      <c r="F6" s="3"/>
      <c r="G6" s="3"/>
      <c r="H6" s="3"/>
      <c r="I6" s="3"/>
      <c r="J6" s="3"/>
      <c r="K6" s="3"/>
      <c r="L6" s="3"/>
      <c r="M6" s="3"/>
      <c r="N6" s="3"/>
      <c r="O6" s="3"/>
      <c r="P6" s="3"/>
      <c r="Q6" s="3"/>
      <c r="R6" s="3"/>
      <c r="S6" s="3"/>
      <c r="T6" s="3"/>
      <c r="U6" s="3"/>
      <c r="V6" s="3"/>
      <c r="W6" s="3"/>
      <c r="X6" s="3"/>
      <c r="Y6" s="3"/>
      <c r="Z6" s="3"/>
    </row>
    <row r="7" spans="1:26" ht="15.75" customHeight="1">
      <c r="A7" s="2"/>
      <c r="B7" s="2"/>
      <c r="C7" s="3"/>
      <c r="D7" s="3"/>
      <c r="E7" s="3"/>
      <c r="F7" s="3"/>
      <c r="G7" s="3"/>
      <c r="H7" s="3"/>
      <c r="I7" s="3"/>
      <c r="J7" s="3"/>
      <c r="K7" s="3"/>
      <c r="L7" s="3"/>
      <c r="M7" s="3"/>
      <c r="N7" s="3"/>
      <c r="O7" s="3"/>
      <c r="P7" s="3"/>
      <c r="Q7" s="3"/>
      <c r="R7" s="3"/>
      <c r="S7" s="3"/>
      <c r="T7" s="3"/>
      <c r="U7" s="3"/>
      <c r="V7" s="3"/>
      <c r="W7" s="3"/>
      <c r="X7" s="3"/>
      <c r="Y7" s="3"/>
      <c r="Z7" s="3"/>
    </row>
    <row r="8" spans="1:26" ht="15.75" customHeight="1">
      <c r="A8" s="80" t="s">
        <v>4</v>
      </c>
      <c r="B8" s="81"/>
      <c r="C8" s="3"/>
      <c r="D8" s="3"/>
      <c r="E8" s="3"/>
      <c r="F8" s="3"/>
      <c r="G8" s="3"/>
      <c r="H8" s="3"/>
      <c r="I8" s="3"/>
      <c r="J8" s="3"/>
      <c r="K8" s="3"/>
      <c r="L8" s="3"/>
      <c r="M8" s="3"/>
      <c r="N8" s="3"/>
      <c r="O8" s="3"/>
      <c r="P8" s="3"/>
      <c r="Q8" s="3"/>
      <c r="R8" s="3"/>
      <c r="S8" s="3"/>
      <c r="T8" s="3"/>
      <c r="U8" s="3"/>
      <c r="V8" s="3"/>
      <c r="W8" s="3"/>
      <c r="X8" s="3"/>
      <c r="Y8" s="3"/>
      <c r="Z8" s="3"/>
    </row>
    <row r="9" spans="1:26" ht="15.75" customHeight="1">
      <c r="A9" s="2"/>
      <c r="B9" s="2"/>
      <c r="C9" s="3"/>
      <c r="D9" s="3"/>
      <c r="E9" s="3"/>
      <c r="F9" s="3"/>
      <c r="G9" s="3"/>
      <c r="H9" s="3"/>
      <c r="I9" s="3"/>
      <c r="J9" s="3"/>
      <c r="K9" s="3"/>
      <c r="L9" s="3"/>
      <c r="M9" s="3"/>
      <c r="N9" s="3"/>
      <c r="O9" s="3"/>
      <c r="P9" s="3"/>
      <c r="Q9" s="3"/>
      <c r="R9" s="3"/>
      <c r="S9" s="3"/>
      <c r="T9" s="3"/>
      <c r="U9" s="3"/>
      <c r="V9" s="3"/>
      <c r="W9" s="3"/>
      <c r="X9" s="3"/>
      <c r="Y9" s="3"/>
      <c r="Z9" s="3"/>
    </row>
    <row r="10" spans="1:26" ht="15.75" customHeight="1">
      <c r="A10" s="5" t="s">
        <v>5</v>
      </c>
      <c r="B10" s="2"/>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2"/>
      <c r="B11" s="2"/>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6">
        <v>1</v>
      </c>
      <c r="B12" s="7" t="s">
        <v>6</v>
      </c>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8" t="s">
        <v>7</v>
      </c>
      <c r="B13" s="70" t="s">
        <v>8</v>
      </c>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8" t="s">
        <v>9</v>
      </c>
      <c r="B14" s="70" t="s">
        <v>10</v>
      </c>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2"/>
      <c r="B15" s="2"/>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6">
        <v>2</v>
      </c>
      <c r="B16" s="7" t="s">
        <v>11</v>
      </c>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8" t="s">
        <v>7</v>
      </c>
      <c r="B17" s="70" t="s">
        <v>12</v>
      </c>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8" t="s">
        <v>9</v>
      </c>
      <c r="B18" s="70" t="s">
        <v>13</v>
      </c>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8" t="s">
        <v>14</v>
      </c>
      <c r="B19" s="70" t="s">
        <v>15</v>
      </c>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8" t="s">
        <v>16</v>
      </c>
      <c r="B20" s="70" t="s">
        <v>17</v>
      </c>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2"/>
      <c r="B21" s="2"/>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6">
        <v>3</v>
      </c>
      <c r="B22" s="37" t="s">
        <v>18</v>
      </c>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2"/>
      <c r="B23" s="2"/>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9" t="s">
        <v>19</v>
      </c>
      <c r="B24" s="2"/>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2"/>
      <c r="B25" s="2"/>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82" t="s">
        <v>20</v>
      </c>
      <c r="B26" s="81"/>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83" t="s">
        <v>21</v>
      </c>
      <c r="B27" s="81"/>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10"/>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10"/>
      <c r="B29" s="2"/>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10"/>
      <c r="B30" s="2"/>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2"/>
      <c r="B31" s="2"/>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2"/>
      <c r="B32" s="2"/>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2"/>
      <c r="B33" s="2"/>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2"/>
      <c r="B34" s="2"/>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2"/>
      <c r="B35" s="2"/>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2"/>
      <c r="B36" s="2"/>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2"/>
      <c r="B37" s="2"/>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2"/>
      <c r="B38" s="2"/>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2"/>
      <c r="B39" s="2"/>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2"/>
      <c r="B40" s="2"/>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2"/>
      <c r="B41" s="2"/>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2"/>
      <c r="B42" s="2"/>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2"/>
      <c r="B43" s="2"/>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2"/>
      <c r="B44" s="2"/>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2"/>
      <c r="B45" s="2"/>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2"/>
      <c r="B46" s="2"/>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2"/>
      <c r="B47" s="2"/>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2"/>
      <c r="B48" s="2"/>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2"/>
      <c r="B49" s="2"/>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2"/>
      <c r="B50" s="2"/>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2"/>
      <c r="B51" s="2"/>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2"/>
      <c r="B52" s="2"/>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2"/>
      <c r="B53" s="2"/>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2"/>
      <c r="B54" s="2"/>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2"/>
      <c r="B55" s="2"/>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2"/>
      <c r="B56" s="2"/>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2"/>
      <c r="B57" s="2"/>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2"/>
      <c r="B58" s="2"/>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2"/>
      <c r="B59" s="2"/>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2"/>
      <c r="B60" s="2"/>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2"/>
      <c r="B61" s="2"/>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2"/>
      <c r="B62" s="2"/>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2"/>
      <c r="B63" s="2"/>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2"/>
      <c r="B64" s="2"/>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2"/>
      <c r="B65" s="2"/>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2"/>
      <c r="B66" s="2"/>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2"/>
      <c r="B67" s="2"/>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2"/>
      <c r="B68" s="2"/>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2"/>
      <c r="B69" s="2"/>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2"/>
      <c r="B70" s="2"/>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2"/>
      <c r="B71" s="2"/>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2"/>
      <c r="B72" s="2"/>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2"/>
      <c r="B73" s="2"/>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2"/>
      <c r="B74" s="2"/>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2"/>
      <c r="B75" s="2"/>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2"/>
      <c r="B76" s="2"/>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2"/>
      <c r="B77" s="2"/>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2"/>
      <c r="B78" s="2"/>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2"/>
      <c r="B79" s="2"/>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2"/>
      <c r="B80" s="2"/>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2"/>
      <c r="B81" s="2"/>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2"/>
      <c r="B82" s="2"/>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2"/>
      <c r="B83" s="2"/>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2"/>
      <c r="B84" s="2"/>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2"/>
      <c r="B85" s="2"/>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2"/>
      <c r="B86" s="2"/>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2"/>
      <c r="B87" s="2"/>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2"/>
      <c r="B88" s="2"/>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2"/>
      <c r="B89" s="2"/>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2"/>
      <c r="B90" s="2"/>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2"/>
      <c r="B91" s="2"/>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2"/>
      <c r="B92" s="2"/>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2"/>
      <c r="B93" s="2"/>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2"/>
      <c r="B94" s="2"/>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2"/>
      <c r="B95" s="2"/>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2"/>
      <c r="B96" s="2"/>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2"/>
      <c r="B97" s="2"/>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2"/>
      <c r="B98" s="2"/>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2"/>
      <c r="B99" s="2"/>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2"/>
      <c r="B100" s="2"/>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2"/>
      <c r="B101" s="2"/>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2"/>
      <c r="B102" s="2"/>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2"/>
      <c r="B103" s="2"/>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2"/>
      <c r="B104" s="2"/>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2"/>
      <c r="B105" s="2"/>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2"/>
      <c r="B106" s="2"/>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2"/>
      <c r="B107" s="2"/>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2"/>
      <c r="B108" s="2"/>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2"/>
      <c r="B109" s="2"/>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2"/>
      <c r="B110" s="2"/>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2"/>
      <c r="B111" s="2"/>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2"/>
      <c r="B112" s="2"/>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2"/>
      <c r="B113" s="2"/>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2"/>
      <c r="B114" s="2"/>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2"/>
      <c r="B115" s="2"/>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2"/>
      <c r="B116" s="2"/>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2"/>
      <c r="B117" s="2"/>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2"/>
      <c r="B118" s="2"/>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2"/>
      <c r="B119" s="2"/>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2"/>
      <c r="B120" s="2"/>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2"/>
      <c r="B121" s="2"/>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2"/>
      <c r="B122" s="2"/>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2"/>
      <c r="B123" s="2"/>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2"/>
      <c r="B124" s="2"/>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2"/>
      <c r="B125" s="2"/>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2"/>
      <c r="B126" s="2"/>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2"/>
      <c r="B127" s="2"/>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2"/>
      <c r="B128" s="2"/>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2"/>
      <c r="B129" s="2"/>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2"/>
      <c r="B130" s="2"/>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2"/>
      <c r="B131" s="2"/>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2"/>
      <c r="B132" s="2"/>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2"/>
      <c r="B133" s="2"/>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2"/>
      <c r="B134" s="2"/>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2"/>
      <c r="B135" s="2"/>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2"/>
      <c r="B136" s="2"/>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2"/>
      <c r="B137" s="2"/>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2"/>
      <c r="B138" s="2"/>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2"/>
      <c r="B139" s="2"/>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2"/>
      <c r="B140" s="2"/>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2"/>
      <c r="B141" s="2"/>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2"/>
      <c r="B142" s="2"/>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2"/>
      <c r="B143" s="2"/>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2"/>
      <c r="B144" s="2"/>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2"/>
      <c r="B145" s="2"/>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2"/>
      <c r="B146" s="2"/>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2"/>
      <c r="B147" s="2"/>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2"/>
      <c r="B148" s="2"/>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2"/>
      <c r="B149" s="2"/>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2"/>
      <c r="B150" s="2"/>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2"/>
      <c r="B151" s="2"/>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2"/>
      <c r="B152" s="2"/>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2"/>
      <c r="B153" s="2"/>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2"/>
      <c r="B154" s="2"/>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2"/>
      <c r="B155" s="2"/>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2"/>
      <c r="B156" s="2"/>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2"/>
      <c r="B157" s="2"/>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2"/>
      <c r="B158" s="2"/>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2"/>
      <c r="B159" s="2"/>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2"/>
      <c r="B160" s="2"/>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2"/>
      <c r="B161" s="2"/>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2"/>
      <c r="B162" s="2"/>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2"/>
      <c r="B163" s="2"/>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2"/>
      <c r="B164" s="2"/>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2"/>
      <c r="B165" s="2"/>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2"/>
      <c r="B166" s="2"/>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2"/>
      <c r="B167" s="2"/>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2"/>
      <c r="B168" s="2"/>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2"/>
      <c r="B169" s="2"/>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2"/>
      <c r="B170" s="2"/>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2"/>
      <c r="B171" s="2"/>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2"/>
      <c r="B172" s="2"/>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2"/>
      <c r="B173" s="2"/>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2"/>
      <c r="B174" s="2"/>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2"/>
      <c r="B175" s="2"/>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2"/>
      <c r="B176" s="2"/>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2"/>
      <c r="B177" s="2"/>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2"/>
      <c r="B178" s="2"/>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2"/>
      <c r="B179" s="2"/>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2"/>
      <c r="B180" s="2"/>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2"/>
      <c r="B181" s="2"/>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2"/>
      <c r="B182" s="2"/>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2"/>
      <c r="B183" s="2"/>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2"/>
      <c r="B184" s="2"/>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2"/>
      <c r="B185" s="2"/>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2"/>
      <c r="B186" s="2"/>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2"/>
      <c r="B187" s="2"/>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2"/>
      <c r="B188" s="2"/>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2"/>
      <c r="B189" s="2"/>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2"/>
      <c r="B190" s="2"/>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2"/>
      <c r="B191" s="2"/>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2"/>
      <c r="B192" s="2"/>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2"/>
      <c r="B193" s="2"/>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2"/>
      <c r="B194" s="2"/>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2"/>
      <c r="B195" s="2"/>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2"/>
      <c r="B196" s="2"/>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2"/>
      <c r="B197" s="2"/>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2"/>
      <c r="B198" s="2"/>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2"/>
      <c r="B199" s="2"/>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2"/>
      <c r="B200" s="2"/>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2"/>
      <c r="B201" s="2"/>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2"/>
      <c r="B202" s="2"/>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2"/>
      <c r="B203" s="2"/>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2"/>
      <c r="B204" s="2"/>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2"/>
      <c r="B205" s="2"/>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2"/>
      <c r="B206" s="2"/>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2"/>
      <c r="B207" s="2"/>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2"/>
      <c r="B208" s="2"/>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2"/>
      <c r="B209" s="2"/>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2"/>
      <c r="B210" s="2"/>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2"/>
      <c r="B211" s="2"/>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2"/>
      <c r="B212" s="2"/>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2"/>
      <c r="B213" s="2"/>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2"/>
      <c r="B214" s="2"/>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2"/>
      <c r="B215" s="2"/>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2"/>
      <c r="B216" s="2"/>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2"/>
      <c r="B217" s="2"/>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2"/>
      <c r="B218" s="2"/>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2"/>
      <c r="B219" s="2"/>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2"/>
      <c r="B220" s="2"/>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2"/>
      <c r="B221" s="2"/>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2"/>
      <c r="B222" s="2"/>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2"/>
      <c r="B223" s="2"/>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2"/>
      <c r="B224" s="2"/>
    </row>
    <row r="225" spans="1:2" ht="15.75" customHeight="1">
      <c r="A225" s="2"/>
      <c r="B225" s="2"/>
    </row>
    <row r="226" spans="1:2" ht="15.75" customHeight="1">
      <c r="A226" s="2"/>
      <c r="B226" s="2"/>
    </row>
    <row r="227" spans="1:2" ht="15.75" customHeight="1">
      <c r="A227" s="2"/>
      <c r="B227" s="2"/>
    </row>
    <row r="228" spans="1:2" ht="15.75" customHeight="1">
      <c r="A228" s="2"/>
      <c r="B228" s="2"/>
    </row>
    <row r="229" spans="1:2" ht="15.75" customHeight="1">
      <c r="A229" s="2"/>
      <c r="B229" s="2"/>
    </row>
    <row r="230" spans="1:2" ht="15.75" customHeight="1">
      <c r="A230" s="2"/>
      <c r="B230" s="2"/>
    </row>
    <row r="231" spans="1:2" ht="15.75" customHeight="1">
      <c r="A231" s="1"/>
      <c r="B231" s="1"/>
    </row>
    <row r="232" spans="1:2" ht="15.75" customHeight="1">
      <c r="A232" s="1"/>
      <c r="B232" s="1"/>
    </row>
    <row r="233" spans="1:2" ht="15.75" customHeight="1">
      <c r="A233" s="1"/>
      <c r="B233" s="1"/>
    </row>
    <row r="234" spans="1:2" ht="15.75" customHeight="1">
      <c r="A234" s="1"/>
      <c r="B234" s="1"/>
    </row>
    <row r="235" spans="1:2" ht="15.75" customHeight="1">
      <c r="A235" s="1"/>
      <c r="B235" s="1"/>
    </row>
    <row r="236" spans="1:2" ht="15.75" customHeight="1">
      <c r="A236" s="1"/>
      <c r="B236" s="1"/>
    </row>
    <row r="237" spans="1:2" ht="15.75" customHeight="1">
      <c r="A237" s="1"/>
      <c r="B237" s="1"/>
    </row>
    <row r="238" spans="1:2" ht="15.75" customHeight="1">
      <c r="A238" s="1"/>
      <c r="B238" s="1"/>
    </row>
    <row r="239" spans="1:2" ht="15.75" customHeight="1">
      <c r="A239" s="1"/>
      <c r="B239" s="1"/>
    </row>
    <row r="240" spans="1:2" ht="15.75" customHeight="1">
      <c r="A240" s="1"/>
      <c r="B240" s="1"/>
    </row>
    <row r="241" spans="1:2" ht="15.75" customHeight="1">
      <c r="A241" s="1"/>
      <c r="B241" s="1"/>
    </row>
    <row r="242" spans="1:2" ht="15.75" customHeight="1">
      <c r="A242" s="1"/>
      <c r="B242" s="1"/>
    </row>
    <row r="243" spans="1:2" ht="15.75" customHeight="1">
      <c r="A243" s="1"/>
      <c r="B243" s="1"/>
    </row>
    <row r="244" spans="1:2" ht="15.75" customHeight="1">
      <c r="A244" s="1"/>
      <c r="B244" s="1"/>
    </row>
    <row r="245" spans="1:2" ht="15.75" customHeight="1">
      <c r="A245" s="1"/>
      <c r="B245" s="1"/>
    </row>
    <row r="246" spans="1:2" ht="15.75" customHeight="1">
      <c r="A246" s="1"/>
      <c r="B246" s="1"/>
    </row>
    <row r="247" spans="1:2" ht="15.75" customHeight="1">
      <c r="A247" s="1"/>
      <c r="B247" s="1"/>
    </row>
    <row r="248" spans="1:2" ht="15.75" customHeight="1">
      <c r="A248" s="1"/>
      <c r="B248" s="1"/>
    </row>
    <row r="249" spans="1:2" ht="15.75" customHeight="1">
      <c r="A249" s="1"/>
      <c r="B249" s="1"/>
    </row>
    <row r="250" spans="1:2" ht="15.75" customHeight="1">
      <c r="A250" s="1"/>
      <c r="B250" s="1"/>
    </row>
    <row r="251" spans="1:2" ht="15.75" customHeight="1">
      <c r="A251" s="1"/>
      <c r="B251" s="1"/>
    </row>
    <row r="252" spans="1:2" ht="15.75" customHeight="1">
      <c r="A252" s="1"/>
      <c r="B252" s="1"/>
    </row>
    <row r="253" spans="1:2" ht="15.75" customHeight="1">
      <c r="A253" s="1"/>
      <c r="B253" s="1"/>
    </row>
    <row r="254" spans="1:2" ht="15.75" customHeight="1">
      <c r="A254" s="1"/>
      <c r="B254" s="1"/>
    </row>
    <row r="255" spans="1:2" ht="15.75" customHeight="1">
      <c r="A255" s="1"/>
      <c r="B255" s="1"/>
    </row>
    <row r="256" spans="1:2" ht="15.75" customHeight="1">
      <c r="A256" s="1"/>
      <c r="B256" s="1"/>
    </row>
    <row r="257" spans="1:2" ht="15.75" customHeight="1">
      <c r="A257" s="1"/>
      <c r="B257" s="1"/>
    </row>
    <row r="258" spans="1:2" ht="15.75" customHeight="1">
      <c r="A258" s="1"/>
      <c r="B258" s="1"/>
    </row>
    <row r="259" spans="1:2" ht="15.75" customHeight="1">
      <c r="A259" s="1"/>
      <c r="B259" s="1"/>
    </row>
    <row r="260" spans="1:2" ht="15.75" customHeight="1">
      <c r="A260" s="1"/>
      <c r="B260" s="1"/>
    </row>
    <row r="261" spans="1:2" ht="15.75" customHeight="1">
      <c r="A261" s="1"/>
      <c r="B261" s="1"/>
    </row>
    <row r="262" spans="1:2" ht="15.75" customHeight="1">
      <c r="A262" s="1"/>
      <c r="B262" s="1"/>
    </row>
    <row r="263" spans="1:2" ht="15.75" customHeight="1">
      <c r="A263" s="1"/>
      <c r="B263" s="1"/>
    </row>
    <row r="264" spans="1:2" ht="15.75" customHeight="1">
      <c r="A264" s="1"/>
      <c r="B264" s="1"/>
    </row>
    <row r="265" spans="1:2" ht="15.75" customHeight="1">
      <c r="A265" s="1"/>
      <c r="B265" s="1"/>
    </row>
    <row r="266" spans="1:2" ht="15.75" customHeight="1">
      <c r="A266" s="1"/>
      <c r="B266" s="1"/>
    </row>
    <row r="267" spans="1:2" ht="15.75" customHeight="1">
      <c r="A267" s="1"/>
      <c r="B267" s="1"/>
    </row>
    <row r="268" spans="1:2" ht="15.75" customHeight="1">
      <c r="A268" s="1"/>
      <c r="B268" s="1"/>
    </row>
    <row r="269" spans="1:2" ht="15.75" customHeight="1">
      <c r="A269" s="1"/>
      <c r="B269" s="1"/>
    </row>
    <row r="270" spans="1:2" ht="15.75" customHeight="1">
      <c r="A270" s="1"/>
      <c r="B270" s="1"/>
    </row>
    <row r="271" spans="1:2" ht="15.75" customHeight="1">
      <c r="A271" s="1"/>
      <c r="B271" s="1"/>
    </row>
    <row r="272" spans="1:2" ht="15.75" customHeight="1">
      <c r="A272" s="1"/>
      <c r="B272" s="1"/>
    </row>
    <row r="273" spans="1:2" ht="15.75" customHeight="1">
      <c r="A273" s="1"/>
      <c r="B273" s="1"/>
    </row>
    <row r="274" spans="1:2" ht="15.75" customHeight="1">
      <c r="A274" s="1"/>
      <c r="B274" s="1"/>
    </row>
    <row r="275" spans="1:2" ht="15.75" customHeight="1">
      <c r="A275" s="1"/>
      <c r="B275" s="1"/>
    </row>
    <row r="276" spans="1:2" ht="15.75" customHeight="1">
      <c r="A276" s="1"/>
      <c r="B276" s="1"/>
    </row>
    <row r="277" spans="1:2" ht="15.75" customHeight="1">
      <c r="A277" s="1"/>
      <c r="B277" s="1"/>
    </row>
    <row r="278" spans="1:2" ht="15.75" customHeight="1">
      <c r="A278" s="1"/>
      <c r="B278" s="1"/>
    </row>
    <row r="279" spans="1:2" ht="15.75" customHeight="1">
      <c r="A279" s="1"/>
      <c r="B279" s="1"/>
    </row>
    <row r="280" spans="1:2" ht="15.75" customHeight="1">
      <c r="A280" s="1"/>
      <c r="B280" s="1"/>
    </row>
    <row r="281" spans="1:2" ht="15.75" customHeight="1">
      <c r="A281" s="1"/>
      <c r="B281" s="1"/>
    </row>
    <row r="282" spans="1:2" ht="15.75" customHeight="1">
      <c r="A282" s="1"/>
      <c r="B282" s="1"/>
    </row>
    <row r="283" spans="1:2" ht="15.75" customHeight="1">
      <c r="A283" s="1"/>
      <c r="B283" s="1"/>
    </row>
    <row r="284" spans="1:2" ht="15.75" customHeight="1">
      <c r="A284" s="1"/>
      <c r="B284" s="1"/>
    </row>
    <row r="285" spans="1:2" ht="15.75" customHeight="1">
      <c r="A285" s="1"/>
      <c r="B285" s="1"/>
    </row>
    <row r="286" spans="1:2" ht="15.75" customHeight="1">
      <c r="A286" s="1"/>
      <c r="B286" s="1"/>
    </row>
    <row r="287" spans="1:2" ht="15.75" customHeight="1">
      <c r="A287" s="1"/>
      <c r="B287" s="1"/>
    </row>
    <row r="288" spans="1:2" ht="15.75" customHeight="1">
      <c r="A288" s="1"/>
      <c r="B288" s="1"/>
    </row>
    <row r="289" spans="1:2" ht="15.75" customHeight="1">
      <c r="A289" s="1"/>
      <c r="B289" s="1"/>
    </row>
    <row r="290" spans="1:2" ht="15.75" customHeight="1">
      <c r="A290" s="1"/>
      <c r="B290" s="1"/>
    </row>
    <row r="291" spans="1:2" ht="15.75" customHeight="1">
      <c r="A291" s="1"/>
      <c r="B291" s="1"/>
    </row>
    <row r="292" spans="1:2" ht="15.75" customHeight="1">
      <c r="A292" s="1"/>
      <c r="B292" s="1"/>
    </row>
    <row r="293" spans="1:2" ht="15.75" customHeight="1">
      <c r="A293" s="1"/>
      <c r="B293" s="1"/>
    </row>
    <row r="294" spans="1:2" ht="15.75" customHeight="1">
      <c r="A294" s="1"/>
      <c r="B294" s="1"/>
    </row>
    <row r="295" spans="1:2" ht="15.75" customHeight="1">
      <c r="A295" s="1"/>
      <c r="B295" s="1"/>
    </row>
    <row r="296" spans="1:2" ht="15.75" customHeight="1">
      <c r="A296" s="1"/>
      <c r="B296" s="1"/>
    </row>
    <row r="297" spans="1:2" ht="15.75" customHeight="1">
      <c r="A297" s="1"/>
      <c r="B297" s="1"/>
    </row>
    <row r="298" spans="1:2" ht="15.75" customHeight="1">
      <c r="A298" s="1"/>
      <c r="B298" s="1"/>
    </row>
    <row r="299" spans="1:2" ht="15.75" customHeight="1">
      <c r="A299" s="1"/>
      <c r="B299" s="1"/>
    </row>
    <row r="300" spans="1:2" ht="15.75" customHeight="1">
      <c r="A300" s="1"/>
      <c r="B300" s="1"/>
    </row>
    <row r="301" spans="1:2" ht="15.75" customHeight="1">
      <c r="A301" s="1"/>
      <c r="B301" s="1"/>
    </row>
    <row r="302" spans="1:2" ht="15.75" customHeight="1">
      <c r="A302" s="1"/>
      <c r="B302" s="1"/>
    </row>
    <row r="303" spans="1:2" ht="15.75" customHeight="1">
      <c r="A303" s="1"/>
      <c r="B303" s="1"/>
    </row>
    <row r="304" spans="1:2" ht="15.75" customHeight="1">
      <c r="A304" s="1"/>
      <c r="B304" s="1"/>
    </row>
    <row r="305" spans="1:2" ht="15.75" customHeight="1">
      <c r="A305" s="1"/>
      <c r="B305" s="1"/>
    </row>
    <row r="306" spans="1:2" ht="15.75" customHeight="1">
      <c r="A306" s="1"/>
      <c r="B306" s="1"/>
    </row>
    <row r="307" spans="1:2" ht="15.75" customHeight="1">
      <c r="A307" s="1"/>
      <c r="B307" s="1"/>
    </row>
    <row r="308" spans="1:2" ht="15.75" customHeight="1">
      <c r="A308" s="1"/>
      <c r="B308" s="1"/>
    </row>
    <row r="309" spans="1:2" ht="15.75" customHeight="1">
      <c r="A309" s="1"/>
      <c r="B309" s="1"/>
    </row>
    <row r="310" spans="1:2" ht="15.75" customHeight="1">
      <c r="A310" s="1"/>
      <c r="B310" s="1"/>
    </row>
    <row r="311" spans="1:2" ht="15.75" customHeight="1">
      <c r="A311" s="1"/>
      <c r="B311" s="1"/>
    </row>
    <row r="312" spans="1:2" ht="15.75" customHeight="1">
      <c r="A312" s="1"/>
      <c r="B312" s="1"/>
    </row>
    <row r="313" spans="1:2" ht="15.75" customHeight="1">
      <c r="A313" s="1"/>
      <c r="B313" s="1"/>
    </row>
    <row r="314" spans="1:2" ht="15.75" customHeight="1">
      <c r="A314" s="1"/>
      <c r="B314" s="1"/>
    </row>
    <row r="315" spans="1:2" ht="15.75" customHeight="1">
      <c r="A315" s="1"/>
      <c r="B315" s="1"/>
    </row>
    <row r="316" spans="1:2" ht="15.75" customHeight="1">
      <c r="A316" s="1"/>
      <c r="B316" s="1"/>
    </row>
    <row r="317" spans="1:2" ht="15.75" customHeight="1">
      <c r="A317" s="1"/>
      <c r="B317" s="1"/>
    </row>
    <row r="318" spans="1:2" ht="15.75" customHeight="1">
      <c r="A318" s="1"/>
      <c r="B318" s="1"/>
    </row>
    <row r="319" spans="1:2" ht="15.75" customHeight="1">
      <c r="A319" s="1"/>
      <c r="B319" s="1"/>
    </row>
    <row r="320" spans="1:2" ht="15.75" customHeight="1">
      <c r="A320" s="1"/>
      <c r="B320" s="1"/>
    </row>
    <row r="321" spans="1:2" ht="15.75" customHeight="1">
      <c r="A321" s="1"/>
      <c r="B321" s="1"/>
    </row>
    <row r="322" spans="1:2" ht="15.75" customHeight="1">
      <c r="A322" s="1"/>
      <c r="B322" s="1"/>
    </row>
    <row r="323" spans="1:2" ht="15.75" customHeight="1">
      <c r="A323" s="1"/>
      <c r="B323" s="1"/>
    </row>
    <row r="324" spans="1:2" ht="15.75" customHeight="1">
      <c r="A324" s="1"/>
      <c r="B324" s="1"/>
    </row>
    <row r="325" spans="1:2" ht="15.75" customHeight="1">
      <c r="A325" s="1"/>
      <c r="B325" s="1"/>
    </row>
    <row r="326" spans="1:2" ht="15.75" customHeight="1">
      <c r="A326" s="1"/>
      <c r="B326" s="1"/>
    </row>
    <row r="327" spans="1:2" ht="15.75" customHeight="1">
      <c r="A327" s="1"/>
      <c r="B327" s="1"/>
    </row>
    <row r="328" spans="1:2" ht="15.75" customHeight="1">
      <c r="A328" s="1"/>
      <c r="B328" s="1"/>
    </row>
    <row r="329" spans="1:2" ht="15.75" customHeight="1">
      <c r="A329" s="1"/>
      <c r="B329" s="1"/>
    </row>
    <row r="330" spans="1:2" ht="15.75" customHeight="1">
      <c r="A330" s="1"/>
      <c r="B330" s="1"/>
    </row>
    <row r="331" spans="1:2" ht="15.75" customHeight="1">
      <c r="A331" s="1"/>
      <c r="B331" s="1"/>
    </row>
    <row r="332" spans="1:2" ht="15.75" customHeight="1">
      <c r="A332" s="1"/>
      <c r="B332" s="1"/>
    </row>
    <row r="333" spans="1:2" ht="15.75" customHeight="1">
      <c r="A333" s="1"/>
      <c r="B333" s="1"/>
    </row>
    <row r="334" spans="1:2" ht="15.75" customHeight="1">
      <c r="A334" s="1"/>
      <c r="B334" s="1"/>
    </row>
    <row r="335" spans="1:2" ht="15.75" customHeight="1">
      <c r="A335" s="1"/>
      <c r="B335" s="1"/>
    </row>
    <row r="336" spans="1:2" ht="15.75" customHeight="1">
      <c r="A336" s="1"/>
      <c r="B336" s="1"/>
    </row>
    <row r="337" spans="1:2" ht="15.75" customHeight="1">
      <c r="A337" s="1"/>
      <c r="B337" s="1"/>
    </row>
    <row r="338" spans="1:2" ht="15.75" customHeight="1">
      <c r="A338" s="1"/>
      <c r="B338" s="1"/>
    </row>
    <row r="339" spans="1:2" ht="15.75" customHeight="1">
      <c r="A339" s="1"/>
      <c r="B339" s="1"/>
    </row>
    <row r="340" spans="1:2" ht="15.75" customHeight="1">
      <c r="A340" s="1"/>
      <c r="B340" s="1"/>
    </row>
    <row r="341" spans="1:2" ht="15.75" customHeight="1">
      <c r="A341" s="1"/>
      <c r="B341" s="1"/>
    </row>
    <row r="342" spans="1:2" ht="15.75" customHeight="1">
      <c r="A342" s="1"/>
      <c r="B342" s="1"/>
    </row>
    <row r="343" spans="1:2" ht="15.75" customHeight="1">
      <c r="A343" s="1"/>
      <c r="B343" s="1"/>
    </row>
    <row r="344" spans="1:2" ht="15.75" customHeight="1">
      <c r="A344" s="1"/>
      <c r="B344" s="1"/>
    </row>
    <row r="345" spans="1:2" ht="15.75" customHeight="1">
      <c r="A345" s="1"/>
      <c r="B345" s="1"/>
    </row>
    <row r="346" spans="1:2" ht="15.75" customHeight="1">
      <c r="A346" s="1"/>
      <c r="B346" s="1"/>
    </row>
    <row r="347" spans="1:2" ht="15.75" customHeight="1">
      <c r="A347" s="1"/>
      <c r="B347" s="1"/>
    </row>
    <row r="348" spans="1:2" ht="15.75" customHeight="1">
      <c r="A348" s="1"/>
      <c r="B348" s="1"/>
    </row>
    <row r="349" spans="1:2" ht="15.75" customHeight="1">
      <c r="A349" s="1"/>
      <c r="B349" s="1"/>
    </row>
    <row r="350" spans="1:2" ht="15.75" customHeight="1">
      <c r="A350" s="1"/>
      <c r="B350" s="1"/>
    </row>
    <row r="351" spans="1:2" ht="15.75" customHeight="1">
      <c r="A351" s="1"/>
      <c r="B351" s="1"/>
    </row>
    <row r="352" spans="1:2" ht="15.75" customHeight="1">
      <c r="A352" s="1"/>
      <c r="B352" s="1"/>
    </row>
    <row r="353" spans="1:2" ht="15.75" customHeight="1">
      <c r="A353" s="1"/>
      <c r="B353" s="1"/>
    </row>
    <row r="354" spans="1:2" ht="15.75" customHeight="1">
      <c r="A354" s="1"/>
      <c r="B354" s="1"/>
    </row>
    <row r="355" spans="1:2" ht="15.75" customHeight="1">
      <c r="A355" s="1"/>
      <c r="B355" s="1"/>
    </row>
    <row r="356" spans="1:2" ht="15.75" customHeight="1">
      <c r="A356" s="1"/>
      <c r="B356" s="1"/>
    </row>
    <row r="357" spans="1:2" ht="15.75" customHeight="1">
      <c r="A357" s="1"/>
      <c r="B357" s="1"/>
    </row>
    <row r="358" spans="1:2" ht="15.75" customHeight="1">
      <c r="A358" s="1"/>
      <c r="B358" s="1"/>
    </row>
    <row r="359" spans="1:2" ht="15.75" customHeight="1">
      <c r="A359" s="1"/>
      <c r="B359" s="1"/>
    </row>
    <row r="360" spans="1:2" ht="15.75" customHeight="1">
      <c r="A360" s="1"/>
      <c r="B360" s="1"/>
    </row>
    <row r="361" spans="1:2" ht="15.75" customHeight="1">
      <c r="A361" s="1"/>
      <c r="B361" s="1"/>
    </row>
    <row r="362" spans="1:2" ht="15.75" customHeight="1">
      <c r="A362" s="1"/>
      <c r="B362" s="1"/>
    </row>
    <row r="363" spans="1:2" ht="15.75" customHeight="1">
      <c r="A363" s="1"/>
      <c r="B363" s="1"/>
    </row>
    <row r="364" spans="1:2" ht="15.75" customHeight="1">
      <c r="A364" s="1"/>
      <c r="B364" s="1"/>
    </row>
    <row r="365" spans="1:2" ht="15.75" customHeight="1">
      <c r="A365" s="1"/>
      <c r="B365" s="1"/>
    </row>
    <row r="366" spans="1:2" ht="15.75" customHeight="1">
      <c r="A366" s="1"/>
      <c r="B366" s="1"/>
    </row>
    <row r="367" spans="1:2" ht="15.75" customHeight="1">
      <c r="A367" s="1"/>
      <c r="B367" s="1"/>
    </row>
    <row r="368" spans="1:2" ht="15.75" customHeight="1">
      <c r="A368" s="1"/>
      <c r="B368" s="1"/>
    </row>
    <row r="369" spans="1:2" ht="15.75" customHeight="1">
      <c r="A369" s="1"/>
      <c r="B369" s="1"/>
    </row>
    <row r="370" spans="1:2" ht="15.75" customHeight="1">
      <c r="A370" s="1"/>
      <c r="B370" s="1"/>
    </row>
    <row r="371" spans="1:2" ht="15.75" customHeight="1">
      <c r="A371" s="1"/>
      <c r="B371" s="1"/>
    </row>
    <row r="372" spans="1:2" ht="15.75" customHeight="1">
      <c r="A372" s="1"/>
      <c r="B372" s="1"/>
    </row>
    <row r="373" spans="1:2" ht="15.75" customHeight="1">
      <c r="A373" s="1"/>
      <c r="B373" s="1"/>
    </row>
    <row r="374" spans="1:2" ht="15.75" customHeight="1">
      <c r="A374" s="1"/>
      <c r="B374" s="1"/>
    </row>
    <row r="375" spans="1:2" ht="15.75" customHeight="1">
      <c r="A375" s="1"/>
      <c r="B375" s="1"/>
    </row>
    <row r="376" spans="1:2" ht="15.75" customHeight="1">
      <c r="A376" s="1"/>
      <c r="B376" s="1"/>
    </row>
    <row r="377" spans="1:2" ht="15.75" customHeight="1">
      <c r="A377" s="1"/>
      <c r="B377" s="1"/>
    </row>
    <row r="378" spans="1:2" ht="15.75" customHeight="1">
      <c r="A378" s="1"/>
      <c r="B378" s="1"/>
    </row>
    <row r="379" spans="1:2" ht="15.75" customHeight="1">
      <c r="A379" s="1"/>
      <c r="B379" s="1"/>
    </row>
    <row r="380" spans="1:2" ht="15.75" customHeight="1">
      <c r="A380" s="1"/>
      <c r="B380" s="1"/>
    </row>
    <row r="381" spans="1:2" ht="15.75" customHeight="1">
      <c r="A381" s="1"/>
      <c r="B381" s="1"/>
    </row>
    <row r="382" spans="1:2" ht="15.75" customHeight="1">
      <c r="A382" s="1"/>
      <c r="B382" s="1"/>
    </row>
    <row r="383" spans="1:2" ht="15.75" customHeight="1">
      <c r="A383" s="1"/>
      <c r="B383" s="1"/>
    </row>
    <row r="384" spans="1:2" ht="15.75" customHeight="1">
      <c r="A384" s="1"/>
      <c r="B384" s="1"/>
    </row>
    <row r="385" spans="1:2" ht="15.75" customHeight="1">
      <c r="A385" s="1"/>
      <c r="B385" s="1"/>
    </row>
    <row r="386" spans="1:2" ht="15.75" customHeight="1">
      <c r="A386" s="1"/>
      <c r="B386" s="1"/>
    </row>
    <row r="387" spans="1:2" ht="15.75" customHeight="1">
      <c r="A387" s="1"/>
      <c r="B387" s="1"/>
    </row>
    <row r="388" spans="1:2" ht="15.75" customHeight="1">
      <c r="A388" s="1"/>
      <c r="B388" s="1"/>
    </row>
    <row r="389" spans="1:2" ht="15.75" customHeight="1">
      <c r="A389" s="1"/>
      <c r="B389" s="1"/>
    </row>
    <row r="390" spans="1:2" ht="15.75" customHeight="1">
      <c r="A390" s="1"/>
      <c r="B390" s="1"/>
    </row>
    <row r="391" spans="1:2" ht="15.75" customHeight="1">
      <c r="A391" s="1"/>
      <c r="B391" s="1"/>
    </row>
    <row r="392" spans="1:2" ht="15.75" customHeight="1">
      <c r="A392" s="1"/>
      <c r="B392" s="1"/>
    </row>
    <row r="393" spans="1:2" ht="15.75" customHeight="1">
      <c r="A393" s="1"/>
      <c r="B393" s="1"/>
    </row>
    <row r="394" spans="1:2" ht="15.75" customHeight="1">
      <c r="A394" s="1"/>
      <c r="B394" s="1"/>
    </row>
    <row r="395" spans="1:2" ht="15.75" customHeight="1">
      <c r="A395" s="1"/>
      <c r="B395" s="1"/>
    </row>
    <row r="396" spans="1:2" ht="15.75" customHeight="1">
      <c r="A396" s="1"/>
      <c r="B396" s="1"/>
    </row>
    <row r="397" spans="1:2" ht="15.75" customHeight="1">
      <c r="A397" s="1"/>
      <c r="B397" s="1"/>
    </row>
    <row r="398" spans="1:2" ht="15.75" customHeight="1">
      <c r="A398" s="1"/>
      <c r="B398" s="1"/>
    </row>
    <row r="399" spans="1:2" ht="15.75" customHeight="1">
      <c r="A399" s="1"/>
      <c r="B399" s="1"/>
    </row>
    <row r="400" spans="1:2" ht="15.75" customHeight="1">
      <c r="A400" s="1"/>
      <c r="B400" s="1"/>
    </row>
    <row r="401" spans="1:2" ht="15.75" customHeight="1">
      <c r="A401" s="1"/>
      <c r="B401" s="1"/>
    </row>
    <row r="402" spans="1:2" ht="15.75" customHeight="1">
      <c r="A402" s="1"/>
      <c r="B402" s="1"/>
    </row>
    <row r="403" spans="1:2" ht="15.75" customHeight="1">
      <c r="A403" s="1"/>
      <c r="B403" s="1"/>
    </row>
    <row r="404" spans="1:2" ht="15.75" customHeight="1">
      <c r="A404" s="1"/>
      <c r="B404" s="1"/>
    </row>
    <row r="405" spans="1:2" ht="15.75" customHeight="1">
      <c r="A405" s="1"/>
      <c r="B405" s="1"/>
    </row>
    <row r="406" spans="1:2" ht="15.75" customHeight="1">
      <c r="A406" s="1"/>
      <c r="B406" s="1"/>
    </row>
    <row r="407" spans="1:2" ht="15.75" customHeight="1">
      <c r="A407" s="1"/>
      <c r="B407" s="1"/>
    </row>
    <row r="408" spans="1:2" ht="15.75" customHeight="1">
      <c r="A408" s="1"/>
      <c r="B408" s="1"/>
    </row>
    <row r="409" spans="1:2" ht="15.75" customHeight="1">
      <c r="A409" s="1"/>
      <c r="B409" s="1"/>
    </row>
    <row r="410" spans="1:2" ht="15.75" customHeight="1">
      <c r="A410" s="1"/>
      <c r="B410" s="1"/>
    </row>
    <row r="411" spans="1:2" ht="15.75" customHeight="1">
      <c r="A411" s="1"/>
      <c r="B411" s="1"/>
    </row>
    <row r="412" spans="1:2" ht="15.75" customHeight="1">
      <c r="A412" s="1"/>
      <c r="B412" s="1"/>
    </row>
    <row r="413" spans="1:2" ht="15.75" customHeight="1">
      <c r="A413" s="1"/>
      <c r="B413" s="1"/>
    </row>
    <row r="414" spans="1:2" ht="15.75" customHeight="1">
      <c r="A414" s="1"/>
      <c r="B414" s="1"/>
    </row>
    <row r="415" spans="1:2" ht="15.75" customHeight="1">
      <c r="A415" s="1"/>
      <c r="B415" s="1"/>
    </row>
    <row r="416" spans="1:2" ht="15.75" customHeight="1">
      <c r="A416" s="1"/>
      <c r="B416" s="1"/>
    </row>
    <row r="417" spans="1:2" ht="15.75" customHeight="1">
      <c r="A417" s="1"/>
      <c r="B417" s="1"/>
    </row>
    <row r="418" spans="1:2" ht="15.75" customHeight="1">
      <c r="A418" s="1"/>
      <c r="B418" s="1"/>
    </row>
    <row r="419" spans="1:2" ht="15.75" customHeight="1">
      <c r="A419" s="1"/>
      <c r="B419" s="1"/>
    </row>
    <row r="420" spans="1:2" ht="15.75" customHeight="1">
      <c r="A420" s="1"/>
      <c r="B420" s="1"/>
    </row>
    <row r="421" spans="1:2" ht="15.75" customHeight="1">
      <c r="A421" s="1"/>
      <c r="B421" s="1"/>
    </row>
    <row r="422" spans="1:2" ht="15.75" customHeight="1">
      <c r="A422" s="1"/>
      <c r="B422" s="1"/>
    </row>
    <row r="423" spans="1:2" ht="15.75" customHeight="1">
      <c r="A423" s="1"/>
      <c r="B423" s="1"/>
    </row>
    <row r="424" spans="1:2" ht="15.75" customHeight="1">
      <c r="A424" s="1"/>
      <c r="B424" s="1"/>
    </row>
    <row r="425" spans="1:2" ht="15.75" customHeight="1">
      <c r="A425" s="1"/>
      <c r="B425" s="1"/>
    </row>
    <row r="426" spans="1:2" ht="15.75" customHeight="1">
      <c r="A426" s="1"/>
      <c r="B426" s="1"/>
    </row>
    <row r="427" spans="1:2" ht="15.75" customHeight="1">
      <c r="A427" s="1"/>
      <c r="B427" s="1"/>
    </row>
    <row r="428" spans="1:2" ht="15.75" customHeight="1">
      <c r="A428" s="1"/>
      <c r="B428" s="1"/>
    </row>
    <row r="429" spans="1:2" ht="15.75" customHeight="1">
      <c r="A429" s="1"/>
      <c r="B429" s="1"/>
    </row>
    <row r="430" spans="1:2" ht="15.75" customHeight="1">
      <c r="A430" s="1"/>
      <c r="B430" s="1"/>
    </row>
    <row r="431" spans="1:2" ht="15.75" customHeight="1">
      <c r="A431" s="1"/>
      <c r="B431" s="1"/>
    </row>
    <row r="432" spans="1:2" ht="15.75" customHeight="1">
      <c r="A432" s="1"/>
      <c r="B432" s="1"/>
    </row>
    <row r="433" spans="1:2" ht="15.75" customHeight="1">
      <c r="A433" s="1"/>
      <c r="B433" s="1"/>
    </row>
    <row r="434" spans="1:2" ht="15.75" customHeight="1">
      <c r="A434" s="1"/>
      <c r="B434" s="1"/>
    </row>
    <row r="435" spans="1:2" ht="15.75" customHeight="1">
      <c r="A435" s="1"/>
      <c r="B435" s="1"/>
    </row>
    <row r="436" spans="1:2" ht="15.75" customHeight="1">
      <c r="A436" s="1"/>
      <c r="B436" s="1"/>
    </row>
    <row r="437" spans="1:2" ht="15.75" customHeight="1">
      <c r="A437" s="1"/>
      <c r="B437" s="1"/>
    </row>
    <row r="438" spans="1:2" ht="15.75" customHeight="1">
      <c r="A438" s="1"/>
      <c r="B438" s="1"/>
    </row>
    <row r="439" spans="1:2" ht="15.75" customHeight="1">
      <c r="A439" s="1"/>
      <c r="B439" s="1"/>
    </row>
    <row r="440" spans="1:2" ht="15.75" customHeight="1">
      <c r="A440" s="1"/>
      <c r="B440" s="1"/>
    </row>
    <row r="441" spans="1:2" ht="15.75" customHeight="1">
      <c r="A441" s="1"/>
      <c r="B441" s="1"/>
    </row>
    <row r="442" spans="1:2" ht="15.75" customHeight="1">
      <c r="A442" s="1"/>
      <c r="B442" s="1"/>
    </row>
    <row r="443" spans="1:2" ht="15.75" customHeight="1">
      <c r="A443" s="1"/>
      <c r="B443" s="1"/>
    </row>
    <row r="444" spans="1:2" ht="15.75" customHeight="1">
      <c r="A444" s="1"/>
      <c r="B444" s="1"/>
    </row>
    <row r="445" spans="1:2" ht="15.75" customHeight="1">
      <c r="A445" s="1"/>
      <c r="B445" s="1"/>
    </row>
    <row r="446" spans="1:2" ht="15.75" customHeight="1">
      <c r="A446" s="1"/>
      <c r="B446" s="1"/>
    </row>
    <row r="447" spans="1:2" ht="15.75" customHeight="1">
      <c r="A447" s="1"/>
      <c r="B447" s="1"/>
    </row>
    <row r="448" spans="1:2" ht="15.75" customHeight="1">
      <c r="A448" s="1"/>
      <c r="B448" s="1"/>
    </row>
    <row r="449" spans="1:2" ht="15.75" customHeight="1">
      <c r="A449" s="1"/>
      <c r="B449" s="1"/>
    </row>
    <row r="450" spans="1:2" ht="15.75" customHeight="1">
      <c r="A450" s="1"/>
      <c r="B450" s="1"/>
    </row>
    <row r="451" spans="1:2" ht="15.75" customHeight="1">
      <c r="A451" s="1"/>
      <c r="B451" s="1"/>
    </row>
    <row r="452" spans="1:2" ht="15.75" customHeight="1">
      <c r="A452" s="1"/>
      <c r="B452" s="1"/>
    </row>
    <row r="453" spans="1:2" ht="15.75" customHeight="1">
      <c r="A453" s="1"/>
      <c r="B453" s="1"/>
    </row>
    <row r="454" spans="1:2" ht="15.75" customHeight="1">
      <c r="A454" s="1"/>
      <c r="B454" s="1"/>
    </row>
    <row r="455" spans="1:2" ht="15.75" customHeight="1">
      <c r="A455" s="1"/>
      <c r="B455" s="1"/>
    </row>
    <row r="456" spans="1:2" ht="15.75" customHeight="1">
      <c r="A456" s="1"/>
      <c r="B456" s="1"/>
    </row>
    <row r="457" spans="1:2" ht="15.75" customHeight="1">
      <c r="A457" s="1"/>
      <c r="B457" s="1"/>
    </row>
    <row r="458" spans="1:2" ht="15.75" customHeight="1">
      <c r="A458" s="1"/>
      <c r="B458" s="1"/>
    </row>
    <row r="459" spans="1:2" ht="15.75" customHeight="1">
      <c r="A459" s="1"/>
      <c r="B459" s="1"/>
    </row>
    <row r="460" spans="1:2" ht="15.75" customHeight="1">
      <c r="A460" s="1"/>
      <c r="B460" s="1"/>
    </row>
    <row r="461" spans="1:2" ht="15.75" customHeight="1">
      <c r="A461" s="1"/>
      <c r="B461" s="1"/>
    </row>
    <row r="462" spans="1:2" ht="15.75" customHeight="1">
      <c r="A462" s="1"/>
      <c r="B462" s="1"/>
    </row>
    <row r="463" spans="1:2" ht="15.75" customHeight="1">
      <c r="A463" s="1"/>
      <c r="B463" s="1"/>
    </row>
    <row r="464" spans="1:2" ht="15.75" customHeight="1">
      <c r="A464" s="1"/>
      <c r="B464" s="1"/>
    </row>
    <row r="465" spans="1:2" ht="15.75" customHeight="1">
      <c r="A465" s="1"/>
      <c r="B465" s="1"/>
    </row>
    <row r="466" spans="1:2" ht="15.75" customHeight="1">
      <c r="A466" s="1"/>
      <c r="B466" s="1"/>
    </row>
    <row r="467" spans="1:2" ht="15.75" customHeight="1">
      <c r="A467" s="1"/>
      <c r="B467" s="1"/>
    </row>
    <row r="468" spans="1:2" ht="15.75" customHeight="1">
      <c r="A468" s="1"/>
      <c r="B468" s="1"/>
    </row>
    <row r="469" spans="1:2" ht="15.75" customHeight="1">
      <c r="A469" s="1"/>
      <c r="B469" s="1"/>
    </row>
    <row r="470" spans="1:2" ht="15.75" customHeight="1">
      <c r="A470" s="1"/>
      <c r="B470" s="1"/>
    </row>
    <row r="471" spans="1:2" ht="15.75" customHeight="1">
      <c r="A471" s="1"/>
      <c r="B471" s="1"/>
    </row>
    <row r="472" spans="1:2" ht="15.75" customHeight="1">
      <c r="A472" s="1"/>
      <c r="B472" s="1"/>
    </row>
    <row r="473" spans="1:2" ht="15.75" customHeight="1">
      <c r="A473" s="1"/>
      <c r="B473" s="1"/>
    </row>
    <row r="474" spans="1:2" ht="15.75" customHeight="1">
      <c r="A474" s="1"/>
      <c r="B474" s="1"/>
    </row>
    <row r="475" spans="1:2" ht="15.75" customHeight="1">
      <c r="A475" s="1"/>
      <c r="B475" s="1"/>
    </row>
    <row r="476" spans="1:2" ht="15.75" customHeight="1">
      <c r="A476" s="1"/>
      <c r="B476" s="1"/>
    </row>
    <row r="477" spans="1:2" ht="15.75" customHeight="1">
      <c r="A477" s="1"/>
      <c r="B477" s="1"/>
    </row>
    <row r="478" spans="1:2" ht="15.75" customHeight="1">
      <c r="A478" s="1"/>
      <c r="B478" s="1"/>
    </row>
    <row r="479" spans="1:2" ht="15.75" customHeight="1">
      <c r="A479" s="1"/>
      <c r="B479" s="1"/>
    </row>
    <row r="480" spans="1:2" ht="15.75" customHeight="1">
      <c r="A480" s="1"/>
      <c r="B480" s="1"/>
    </row>
    <row r="481" spans="1:2" ht="15.75" customHeight="1">
      <c r="A481" s="1"/>
      <c r="B481" s="1"/>
    </row>
    <row r="482" spans="1:2" ht="15.75" customHeight="1">
      <c r="A482" s="1"/>
      <c r="B482" s="1"/>
    </row>
    <row r="483" spans="1:2" ht="15.75" customHeight="1">
      <c r="A483" s="1"/>
      <c r="B483" s="1"/>
    </row>
    <row r="484" spans="1:2" ht="15.75" customHeight="1">
      <c r="A484" s="1"/>
      <c r="B484" s="1"/>
    </row>
    <row r="485" spans="1:2" ht="15.75" customHeight="1">
      <c r="A485" s="1"/>
      <c r="B485" s="1"/>
    </row>
    <row r="486" spans="1:2" ht="15.75" customHeight="1">
      <c r="A486" s="1"/>
      <c r="B486" s="1"/>
    </row>
    <row r="487" spans="1:2" ht="15.75" customHeight="1">
      <c r="A487" s="1"/>
      <c r="B487" s="1"/>
    </row>
    <row r="488" spans="1:2" ht="15.75" customHeight="1">
      <c r="A488" s="1"/>
      <c r="B488" s="1"/>
    </row>
    <row r="489" spans="1:2" ht="15.75" customHeight="1">
      <c r="A489" s="1"/>
      <c r="B489" s="1"/>
    </row>
    <row r="490" spans="1:2" ht="15.75" customHeight="1">
      <c r="A490" s="1"/>
      <c r="B490" s="1"/>
    </row>
    <row r="491" spans="1:2" ht="15.75" customHeight="1">
      <c r="A491" s="1"/>
      <c r="B491" s="1"/>
    </row>
    <row r="492" spans="1:2" ht="15.75" customHeight="1">
      <c r="A492" s="1"/>
      <c r="B492" s="1"/>
    </row>
    <row r="493" spans="1:2" ht="15.75" customHeight="1">
      <c r="A493" s="1"/>
      <c r="B493" s="1"/>
    </row>
    <row r="494" spans="1:2" ht="15.75" customHeight="1">
      <c r="A494" s="1"/>
      <c r="B494" s="1"/>
    </row>
    <row r="495" spans="1:2" ht="15.75" customHeight="1">
      <c r="A495" s="1"/>
      <c r="B495" s="1"/>
    </row>
    <row r="496" spans="1:2" ht="15.75" customHeight="1">
      <c r="A496" s="1"/>
      <c r="B496" s="1"/>
    </row>
    <row r="497" spans="1:2" ht="15.75" customHeight="1">
      <c r="A497" s="1"/>
      <c r="B497" s="1"/>
    </row>
    <row r="498" spans="1:2" ht="15.75" customHeight="1">
      <c r="A498" s="1"/>
      <c r="B498" s="1"/>
    </row>
    <row r="499" spans="1:2" ht="15.75" customHeight="1">
      <c r="A499" s="1"/>
      <c r="B499" s="1"/>
    </row>
    <row r="500" spans="1:2" ht="15.75" customHeight="1">
      <c r="A500" s="1"/>
      <c r="B500" s="1"/>
    </row>
    <row r="501" spans="1:2" ht="15.75" customHeight="1">
      <c r="A501" s="1"/>
      <c r="B501" s="1"/>
    </row>
    <row r="502" spans="1:2" ht="15.75" customHeight="1">
      <c r="A502" s="1"/>
      <c r="B502" s="1"/>
    </row>
    <row r="503" spans="1:2" ht="15.75" customHeight="1">
      <c r="A503" s="1"/>
      <c r="B503" s="1"/>
    </row>
    <row r="504" spans="1:2" ht="15.75" customHeight="1">
      <c r="A504" s="1"/>
      <c r="B504" s="1"/>
    </row>
    <row r="505" spans="1:2" ht="15.75" customHeight="1">
      <c r="A505" s="1"/>
      <c r="B505" s="1"/>
    </row>
    <row r="506" spans="1:2" ht="15.75" customHeight="1">
      <c r="A506" s="1"/>
      <c r="B506" s="1"/>
    </row>
    <row r="507" spans="1:2" ht="15.75" customHeight="1">
      <c r="A507" s="1"/>
      <c r="B507" s="1"/>
    </row>
    <row r="508" spans="1:2" ht="15.75" customHeight="1">
      <c r="A508" s="1"/>
      <c r="B508" s="1"/>
    </row>
    <row r="509" spans="1:2" ht="15.75" customHeight="1">
      <c r="A509" s="1"/>
      <c r="B509" s="1"/>
    </row>
    <row r="510" spans="1:2" ht="15.75" customHeight="1">
      <c r="A510" s="1"/>
      <c r="B510" s="1"/>
    </row>
    <row r="511" spans="1:2" ht="15.75" customHeight="1">
      <c r="A511" s="1"/>
      <c r="B511" s="1"/>
    </row>
    <row r="512" spans="1:2" ht="15.75" customHeight="1">
      <c r="A512" s="1"/>
      <c r="B512" s="1"/>
    </row>
    <row r="513" spans="1:2" ht="15.75" customHeight="1">
      <c r="A513" s="1"/>
      <c r="B513" s="1"/>
    </row>
    <row r="514" spans="1:2" ht="15.75" customHeight="1">
      <c r="A514" s="1"/>
      <c r="B514" s="1"/>
    </row>
    <row r="515" spans="1:2" ht="15.75" customHeight="1">
      <c r="A515" s="1"/>
      <c r="B515" s="1"/>
    </row>
    <row r="516" spans="1:2" ht="15.75" customHeight="1">
      <c r="A516" s="1"/>
      <c r="B516" s="1"/>
    </row>
    <row r="517" spans="1:2" ht="15.75" customHeight="1">
      <c r="A517" s="1"/>
      <c r="B517" s="1"/>
    </row>
    <row r="518" spans="1:2" ht="15.75" customHeight="1">
      <c r="A518" s="1"/>
      <c r="B518" s="1"/>
    </row>
    <row r="519" spans="1:2" ht="15.75" customHeight="1">
      <c r="A519" s="1"/>
      <c r="B519" s="1"/>
    </row>
    <row r="520" spans="1:2" ht="15.75" customHeight="1">
      <c r="A520" s="1"/>
      <c r="B520" s="1"/>
    </row>
    <row r="521" spans="1:2" ht="15.75" customHeight="1">
      <c r="A521" s="1"/>
      <c r="B521" s="1"/>
    </row>
    <row r="522" spans="1:2" ht="15.75" customHeight="1">
      <c r="A522" s="1"/>
      <c r="B522" s="1"/>
    </row>
    <row r="523" spans="1:2" ht="15.75" customHeight="1">
      <c r="A523" s="1"/>
      <c r="B523" s="1"/>
    </row>
    <row r="524" spans="1:2" ht="15.75" customHeight="1">
      <c r="A524" s="1"/>
      <c r="B524" s="1"/>
    </row>
    <row r="525" spans="1:2" ht="15.75" customHeight="1">
      <c r="A525" s="1"/>
      <c r="B525" s="1"/>
    </row>
    <row r="526" spans="1:2" ht="15.75" customHeight="1">
      <c r="A526" s="1"/>
      <c r="B526" s="1"/>
    </row>
    <row r="527" spans="1:2" ht="15.75" customHeight="1">
      <c r="A527" s="1"/>
      <c r="B527" s="1"/>
    </row>
    <row r="528" spans="1:2" ht="15.75" customHeight="1">
      <c r="A528" s="1"/>
      <c r="B528" s="1"/>
    </row>
    <row r="529" spans="1:2" ht="15.75" customHeight="1">
      <c r="A529" s="1"/>
      <c r="B529" s="1"/>
    </row>
    <row r="530" spans="1:2" ht="15.75" customHeight="1">
      <c r="A530" s="1"/>
      <c r="B530" s="1"/>
    </row>
    <row r="531" spans="1:2" ht="15.75" customHeight="1">
      <c r="A531" s="1"/>
      <c r="B531" s="1"/>
    </row>
    <row r="532" spans="1:2" ht="15.75" customHeight="1">
      <c r="A532" s="1"/>
      <c r="B532" s="1"/>
    </row>
    <row r="533" spans="1:2" ht="15.75" customHeight="1">
      <c r="A533" s="1"/>
      <c r="B533" s="1"/>
    </row>
    <row r="534" spans="1:2" ht="15.75" customHeight="1">
      <c r="A534" s="1"/>
      <c r="B534" s="1"/>
    </row>
    <row r="535" spans="1:2" ht="15.75" customHeight="1">
      <c r="A535" s="1"/>
      <c r="B535" s="1"/>
    </row>
    <row r="536" spans="1:2" ht="15.75" customHeight="1">
      <c r="A536" s="1"/>
      <c r="B536" s="1"/>
    </row>
    <row r="537" spans="1:2" ht="15.75" customHeight="1">
      <c r="A537" s="1"/>
      <c r="B537" s="1"/>
    </row>
    <row r="538" spans="1:2" ht="15.75" customHeight="1">
      <c r="A538" s="1"/>
      <c r="B538" s="1"/>
    </row>
    <row r="539" spans="1:2" ht="15.75" customHeight="1">
      <c r="A539" s="1"/>
      <c r="B539" s="1"/>
    </row>
    <row r="540" spans="1:2" ht="15.75" customHeight="1">
      <c r="A540" s="1"/>
      <c r="B540" s="1"/>
    </row>
    <row r="541" spans="1:2" ht="15.75" customHeight="1">
      <c r="A541" s="1"/>
      <c r="B541" s="1"/>
    </row>
    <row r="542" spans="1:2" ht="15.75" customHeight="1">
      <c r="A542" s="1"/>
      <c r="B542" s="1"/>
    </row>
    <row r="543" spans="1:2" ht="15.75" customHeight="1">
      <c r="A543" s="1"/>
      <c r="B543" s="1"/>
    </row>
    <row r="544" spans="1:2" ht="15.75" customHeight="1">
      <c r="A544" s="1"/>
      <c r="B544" s="1"/>
    </row>
    <row r="545" spans="1:2" ht="15.75" customHeight="1">
      <c r="A545" s="1"/>
      <c r="B545" s="1"/>
    </row>
    <row r="546" spans="1:2" ht="15.75" customHeight="1">
      <c r="A546" s="1"/>
      <c r="B546" s="1"/>
    </row>
    <row r="547" spans="1:2" ht="15.75" customHeight="1">
      <c r="A547" s="1"/>
      <c r="B547" s="1"/>
    </row>
    <row r="548" spans="1:2" ht="15.75" customHeight="1">
      <c r="A548" s="1"/>
      <c r="B548" s="1"/>
    </row>
    <row r="549" spans="1:2" ht="15.75" customHeight="1">
      <c r="A549" s="1"/>
      <c r="B549" s="1"/>
    </row>
    <row r="550" spans="1:2" ht="15.75" customHeight="1">
      <c r="A550" s="1"/>
      <c r="B550" s="1"/>
    </row>
    <row r="551" spans="1:2" ht="15.75" customHeight="1">
      <c r="A551" s="1"/>
      <c r="B551" s="1"/>
    </row>
    <row r="552" spans="1:2" ht="15.75" customHeight="1">
      <c r="A552" s="1"/>
      <c r="B552" s="1"/>
    </row>
    <row r="553" spans="1:2" ht="15.75" customHeight="1">
      <c r="A553" s="1"/>
      <c r="B553" s="1"/>
    </row>
    <row r="554" spans="1:2" ht="15.75" customHeight="1">
      <c r="A554" s="1"/>
      <c r="B554" s="1"/>
    </row>
    <row r="555" spans="1:2" ht="15.75" customHeight="1">
      <c r="A555" s="1"/>
      <c r="B555" s="1"/>
    </row>
    <row r="556" spans="1:2" ht="15.75" customHeight="1">
      <c r="A556" s="1"/>
      <c r="B556" s="1"/>
    </row>
    <row r="557" spans="1:2" ht="15.75" customHeight="1">
      <c r="A557" s="1"/>
      <c r="B557" s="1"/>
    </row>
    <row r="558" spans="1:2" ht="15.75" customHeight="1">
      <c r="A558" s="1"/>
      <c r="B558" s="1"/>
    </row>
    <row r="559" spans="1:2" ht="15.75" customHeight="1">
      <c r="A559" s="1"/>
      <c r="B559" s="1"/>
    </row>
    <row r="560" spans="1:2" ht="15.75" customHeight="1">
      <c r="A560" s="1"/>
      <c r="B560" s="1"/>
    </row>
    <row r="561" spans="1:2" ht="15.75" customHeight="1">
      <c r="A561" s="1"/>
      <c r="B561" s="1"/>
    </row>
    <row r="562" spans="1:2" ht="15.75" customHeight="1">
      <c r="A562" s="1"/>
      <c r="B562" s="1"/>
    </row>
    <row r="563" spans="1:2" ht="15.75" customHeight="1">
      <c r="A563" s="1"/>
      <c r="B563" s="1"/>
    </row>
    <row r="564" spans="1:2" ht="15.75" customHeight="1">
      <c r="A564" s="1"/>
      <c r="B564" s="1"/>
    </row>
    <row r="565" spans="1:2" ht="15.75" customHeight="1">
      <c r="A565" s="1"/>
      <c r="B565" s="1"/>
    </row>
    <row r="566" spans="1:2" ht="15.75" customHeight="1">
      <c r="A566" s="1"/>
      <c r="B566" s="1"/>
    </row>
    <row r="567" spans="1:2" ht="15.75" customHeight="1">
      <c r="A567" s="1"/>
      <c r="B567" s="1"/>
    </row>
    <row r="568" spans="1:2" ht="15.75" customHeight="1">
      <c r="A568" s="1"/>
      <c r="B568" s="1"/>
    </row>
    <row r="569" spans="1:2" ht="15.75" customHeight="1">
      <c r="A569" s="1"/>
      <c r="B569" s="1"/>
    </row>
    <row r="570" spans="1:2" ht="15.75" customHeight="1">
      <c r="A570" s="1"/>
      <c r="B570" s="1"/>
    </row>
    <row r="571" spans="1:2" ht="15.75" customHeight="1">
      <c r="A571" s="1"/>
      <c r="B571" s="1"/>
    </row>
    <row r="572" spans="1:2" ht="15.75" customHeight="1">
      <c r="A572" s="1"/>
      <c r="B572" s="1"/>
    </row>
    <row r="573" spans="1:2" ht="15.75" customHeight="1">
      <c r="A573" s="1"/>
      <c r="B573" s="1"/>
    </row>
    <row r="574" spans="1:2" ht="15.75" customHeight="1">
      <c r="A574" s="1"/>
      <c r="B574" s="1"/>
    </row>
    <row r="575" spans="1:2" ht="15.75" customHeight="1">
      <c r="A575" s="1"/>
      <c r="B575" s="1"/>
    </row>
    <row r="576" spans="1:2" ht="15.75" customHeight="1">
      <c r="A576" s="1"/>
      <c r="B576" s="1"/>
    </row>
    <row r="577" spans="1:2" ht="15.75" customHeight="1">
      <c r="A577" s="1"/>
      <c r="B577" s="1"/>
    </row>
    <row r="578" spans="1:2" ht="15.75" customHeight="1">
      <c r="A578" s="1"/>
      <c r="B578" s="1"/>
    </row>
    <row r="579" spans="1:2" ht="15.75" customHeight="1">
      <c r="A579" s="1"/>
      <c r="B579" s="1"/>
    </row>
    <row r="580" spans="1:2" ht="15.75" customHeight="1">
      <c r="A580" s="1"/>
      <c r="B580" s="1"/>
    </row>
    <row r="581" spans="1:2" ht="15.75" customHeight="1">
      <c r="A581" s="1"/>
      <c r="B581" s="1"/>
    </row>
    <row r="582" spans="1:2" ht="15.75" customHeight="1">
      <c r="A582" s="1"/>
      <c r="B582" s="1"/>
    </row>
    <row r="583" spans="1:2" ht="15.75" customHeight="1">
      <c r="A583" s="1"/>
      <c r="B583" s="1"/>
    </row>
    <row r="584" spans="1:2" ht="15.75" customHeight="1">
      <c r="A584" s="1"/>
      <c r="B584" s="1"/>
    </row>
    <row r="585" spans="1:2" ht="15.75" customHeight="1">
      <c r="A585" s="1"/>
      <c r="B585" s="1"/>
    </row>
    <row r="586" spans="1:2" ht="15.75" customHeight="1">
      <c r="A586" s="1"/>
      <c r="B586" s="1"/>
    </row>
    <row r="587" spans="1:2" ht="15.75" customHeight="1">
      <c r="A587" s="1"/>
      <c r="B587" s="1"/>
    </row>
    <row r="588" spans="1:2" ht="15.75" customHeight="1">
      <c r="A588" s="1"/>
      <c r="B588" s="1"/>
    </row>
    <row r="589" spans="1:2" ht="15.75" customHeight="1">
      <c r="A589" s="1"/>
      <c r="B589" s="1"/>
    </row>
    <row r="590" spans="1:2" ht="15.75" customHeight="1">
      <c r="A590" s="1"/>
      <c r="B590" s="1"/>
    </row>
    <row r="591" spans="1:2" ht="15.75" customHeight="1">
      <c r="A591" s="1"/>
      <c r="B591" s="1"/>
    </row>
    <row r="592" spans="1:2" ht="15.75" customHeight="1">
      <c r="A592" s="1"/>
      <c r="B592" s="1"/>
    </row>
    <row r="593" spans="1:2" ht="15.75" customHeight="1">
      <c r="A593" s="1"/>
      <c r="B593" s="1"/>
    </row>
    <row r="594" spans="1:2" ht="15.75" customHeight="1">
      <c r="A594" s="1"/>
      <c r="B594" s="1"/>
    </row>
    <row r="595" spans="1:2" ht="15.75" customHeight="1">
      <c r="A595" s="1"/>
      <c r="B595" s="1"/>
    </row>
    <row r="596" spans="1:2" ht="15.75" customHeight="1">
      <c r="A596" s="1"/>
      <c r="B596" s="1"/>
    </row>
    <row r="597" spans="1:2" ht="15.75" customHeight="1">
      <c r="A597" s="1"/>
      <c r="B597" s="1"/>
    </row>
    <row r="598" spans="1:2" ht="15.75" customHeight="1">
      <c r="A598" s="1"/>
      <c r="B598" s="1"/>
    </row>
    <row r="599" spans="1:2" ht="15.75" customHeight="1">
      <c r="A599" s="1"/>
      <c r="B599" s="1"/>
    </row>
    <row r="600" spans="1:2" ht="15.75" customHeight="1">
      <c r="A600" s="1"/>
      <c r="B600" s="1"/>
    </row>
    <row r="601" spans="1:2" ht="15.75" customHeight="1">
      <c r="A601" s="1"/>
      <c r="B601" s="1"/>
    </row>
    <row r="602" spans="1:2" ht="15.75" customHeight="1">
      <c r="A602" s="1"/>
      <c r="B602" s="1"/>
    </row>
    <row r="603" spans="1:2" ht="15.75" customHeight="1">
      <c r="A603" s="1"/>
      <c r="B603" s="1"/>
    </row>
    <row r="604" spans="1:2" ht="15.75" customHeight="1">
      <c r="A604" s="1"/>
      <c r="B604" s="1"/>
    </row>
    <row r="605" spans="1:2" ht="15.75" customHeight="1">
      <c r="A605" s="1"/>
      <c r="B605" s="1"/>
    </row>
    <row r="606" spans="1:2" ht="15.75" customHeight="1">
      <c r="A606" s="1"/>
      <c r="B606" s="1"/>
    </row>
    <row r="607" spans="1:2" ht="15.75" customHeight="1">
      <c r="A607" s="1"/>
      <c r="B607" s="1"/>
    </row>
    <row r="608" spans="1:2" ht="15.75" customHeight="1">
      <c r="A608" s="1"/>
      <c r="B608" s="1"/>
    </row>
    <row r="609" spans="1:2" ht="15.75" customHeight="1">
      <c r="A609" s="1"/>
      <c r="B609" s="1"/>
    </row>
    <row r="610" spans="1:2" ht="15.75" customHeight="1">
      <c r="A610" s="1"/>
      <c r="B610" s="1"/>
    </row>
    <row r="611" spans="1:2" ht="15.75" customHeight="1">
      <c r="A611" s="1"/>
      <c r="B611" s="1"/>
    </row>
    <row r="612" spans="1:2" ht="15.75" customHeight="1">
      <c r="A612" s="1"/>
      <c r="B612" s="1"/>
    </row>
    <row r="613" spans="1:2" ht="15.75" customHeight="1">
      <c r="A613" s="1"/>
      <c r="B613" s="1"/>
    </row>
    <row r="614" spans="1:2" ht="15.75" customHeight="1">
      <c r="A614" s="1"/>
      <c r="B614" s="1"/>
    </row>
    <row r="615" spans="1:2" ht="15.75" customHeight="1">
      <c r="A615" s="1"/>
      <c r="B615" s="1"/>
    </row>
    <row r="616" spans="1:2" ht="15.75" customHeight="1">
      <c r="A616" s="1"/>
      <c r="B616" s="1"/>
    </row>
    <row r="617" spans="1:2" ht="15.75" customHeight="1">
      <c r="A617" s="1"/>
      <c r="B617" s="1"/>
    </row>
    <row r="618" spans="1:2" ht="15.75" customHeight="1">
      <c r="A618" s="1"/>
      <c r="B618" s="1"/>
    </row>
    <row r="619" spans="1:2" ht="15.75" customHeight="1">
      <c r="A619" s="1"/>
      <c r="B619" s="1"/>
    </row>
    <row r="620" spans="1:2" ht="15.75" customHeight="1">
      <c r="A620" s="1"/>
      <c r="B620" s="1"/>
    </row>
    <row r="621" spans="1:2" ht="15.75" customHeight="1">
      <c r="A621" s="1"/>
      <c r="B621" s="1"/>
    </row>
    <row r="622" spans="1:2" ht="15.75" customHeight="1">
      <c r="A622" s="1"/>
      <c r="B622" s="1"/>
    </row>
    <row r="623" spans="1:2" ht="15.75" customHeight="1">
      <c r="A623" s="1"/>
      <c r="B623" s="1"/>
    </row>
    <row r="624" spans="1:2" ht="15.75" customHeight="1">
      <c r="A624" s="1"/>
      <c r="B624" s="1"/>
    </row>
    <row r="625" spans="1:2" ht="15.75" customHeight="1">
      <c r="A625" s="1"/>
      <c r="B625" s="1"/>
    </row>
    <row r="626" spans="1:2" ht="15.75" customHeight="1">
      <c r="A626" s="1"/>
      <c r="B626" s="1"/>
    </row>
    <row r="627" spans="1:2" ht="15.75" customHeight="1">
      <c r="A627" s="1"/>
      <c r="B627" s="1"/>
    </row>
    <row r="628" spans="1:2" ht="15.75" customHeight="1">
      <c r="A628" s="1"/>
      <c r="B628" s="1"/>
    </row>
    <row r="629" spans="1:2" ht="15.75" customHeight="1">
      <c r="A629" s="1"/>
      <c r="B629" s="1"/>
    </row>
    <row r="630" spans="1:2" ht="15.75" customHeight="1">
      <c r="A630" s="1"/>
      <c r="B630" s="1"/>
    </row>
    <row r="631" spans="1:2" ht="15.75" customHeight="1">
      <c r="A631" s="1"/>
      <c r="B631" s="1"/>
    </row>
    <row r="632" spans="1:2" ht="15.75" customHeight="1">
      <c r="A632" s="1"/>
      <c r="B632" s="1"/>
    </row>
    <row r="633" spans="1:2" ht="15.75" customHeight="1">
      <c r="A633" s="1"/>
      <c r="B633" s="1"/>
    </row>
    <row r="634" spans="1:2" ht="15.75" customHeight="1">
      <c r="A634" s="1"/>
      <c r="B634" s="1"/>
    </row>
    <row r="635" spans="1:2" ht="15.75" customHeight="1">
      <c r="A635" s="1"/>
      <c r="B635" s="1"/>
    </row>
    <row r="636" spans="1:2" ht="15.75" customHeight="1">
      <c r="A636" s="1"/>
      <c r="B636" s="1"/>
    </row>
    <row r="637" spans="1:2" ht="15.75" customHeight="1">
      <c r="A637" s="1"/>
      <c r="B637" s="1"/>
    </row>
    <row r="638" spans="1:2" ht="15.75" customHeight="1">
      <c r="A638" s="1"/>
      <c r="B638" s="1"/>
    </row>
    <row r="639" spans="1:2" ht="15.75" customHeight="1">
      <c r="A639" s="1"/>
      <c r="B639" s="1"/>
    </row>
    <row r="640" spans="1:2" ht="15.75" customHeight="1">
      <c r="A640" s="1"/>
      <c r="B640" s="1"/>
    </row>
    <row r="641" spans="1:2" ht="15.75" customHeight="1">
      <c r="A641" s="1"/>
      <c r="B641" s="1"/>
    </row>
    <row r="642" spans="1:2" ht="15.75" customHeight="1">
      <c r="A642" s="1"/>
      <c r="B642" s="1"/>
    </row>
    <row r="643" spans="1:2" ht="15.75" customHeight="1">
      <c r="A643" s="1"/>
      <c r="B643" s="1"/>
    </row>
    <row r="644" spans="1:2" ht="15.75" customHeight="1">
      <c r="A644" s="1"/>
      <c r="B644" s="1"/>
    </row>
    <row r="645" spans="1:2" ht="15.75" customHeight="1">
      <c r="A645" s="1"/>
      <c r="B645" s="1"/>
    </row>
    <row r="646" spans="1:2" ht="15.75" customHeight="1">
      <c r="A646" s="1"/>
      <c r="B646" s="1"/>
    </row>
    <row r="647" spans="1:2" ht="15.75" customHeight="1">
      <c r="A647" s="1"/>
      <c r="B647" s="1"/>
    </row>
    <row r="648" spans="1:2" ht="15.75" customHeight="1">
      <c r="A648" s="1"/>
      <c r="B648" s="1"/>
    </row>
    <row r="649" spans="1:2" ht="15.75" customHeight="1">
      <c r="A649" s="1"/>
      <c r="B649" s="1"/>
    </row>
    <row r="650" spans="1:2" ht="15.75" customHeight="1">
      <c r="A650" s="1"/>
      <c r="B650" s="1"/>
    </row>
    <row r="651" spans="1:2" ht="15.75" customHeight="1">
      <c r="A651" s="1"/>
      <c r="B651" s="1"/>
    </row>
    <row r="652" spans="1:2" ht="15.75" customHeight="1">
      <c r="A652" s="1"/>
      <c r="B652" s="1"/>
    </row>
    <row r="653" spans="1:2" ht="15.75" customHeight="1">
      <c r="A653" s="1"/>
      <c r="B653" s="1"/>
    </row>
    <row r="654" spans="1:2" ht="15.75" customHeight="1">
      <c r="A654" s="1"/>
      <c r="B654" s="1"/>
    </row>
    <row r="655" spans="1:2" ht="15.75" customHeight="1">
      <c r="A655" s="1"/>
      <c r="B655" s="1"/>
    </row>
    <row r="656" spans="1:2" ht="15.75" customHeight="1">
      <c r="A656" s="1"/>
      <c r="B656" s="1"/>
    </row>
    <row r="657" spans="1:2" ht="15.75" customHeight="1">
      <c r="A657" s="1"/>
      <c r="B657" s="1"/>
    </row>
    <row r="658" spans="1:2" ht="15.75" customHeight="1">
      <c r="A658" s="1"/>
      <c r="B658" s="1"/>
    </row>
    <row r="659" spans="1:2" ht="15.75" customHeight="1">
      <c r="A659" s="1"/>
      <c r="B659" s="1"/>
    </row>
    <row r="660" spans="1:2" ht="15.75" customHeight="1">
      <c r="A660" s="1"/>
      <c r="B660" s="1"/>
    </row>
    <row r="661" spans="1:2" ht="15.75" customHeight="1">
      <c r="A661" s="1"/>
      <c r="B661" s="1"/>
    </row>
    <row r="662" spans="1:2" ht="15.75" customHeight="1">
      <c r="A662" s="1"/>
      <c r="B662" s="1"/>
    </row>
    <row r="663" spans="1:2" ht="15.75" customHeight="1">
      <c r="A663" s="1"/>
      <c r="B663" s="1"/>
    </row>
    <row r="664" spans="1:2" ht="15.75" customHeight="1">
      <c r="A664" s="1"/>
      <c r="B664" s="1"/>
    </row>
    <row r="665" spans="1:2" ht="15.75" customHeight="1">
      <c r="A665" s="1"/>
      <c r="B665" s="1"/>
    </row>
    <row r="666" spans="1:2" ht="15.75" customHeight="1">
      <c r="A666" s="1"/>
      <c r="B666" s="1"/>
    </row>
    <row r="667" spans="1:2" ht="15.75" customHeight="1">
      <c r="A667" s="1"/>
      <c r="B667" s="1"/>
    </row>
    <row r="668" spans="1:2" ht="15.75" customHeight="1">
      <c r="A668" s="1"/>
      <c r="B668" s="1"/>
    </row>
    <row r="669" spans="1:2" ht="15.75" customHeight="1">
      <c r="A669" s="1"/>
      <c r="B669" s="1"/>
    </row>
    <row r="670" spans="1:2" ht="15.75" customHeight="1">
      <c r="A670" s="1"/>
      <c r="B670" s="1"/>
    </row>
    <row r="671" spans="1:2" ht="15.75" customHeight="1">
      <c r="A671" s="1"/>
      <c r="B671" s="1"/>
    </row>
    <row r="672" spans="1:2" ht="15.75" customHeight="1">
      <c r="A672" s="1"/>
      <c r="B672" s="1"/>
    </row>
    <row r="673" spans="1:2" ht="15.75" customHeight="1">
      <c r="A673" s="1"/>
      <c r="B673" s="1"/>
    </row>
    <row r="674" spans="1:2" ht="15.75" customHeight="1">
      <c r="A674" s="1"/>
      <c r="B674" s="1"/>
    </row>
    <row r="675" spans="1:2" ht="15.75" customHeight="1">
      <c r="A675" s="1"/>
      <c r="B675" s="1"/>
    </row>
    <row r="676" spans="1:2" ht="15.75" customHeight="1">
      <c r="A676" s="1"/>
      <c r="B676" s="1"/>
    </row>
    <row r="677" spans="1:2" ht="15.75" customHeight="1">
      <c r="A677" s="1"/>
      <c r="B677" s="1"/>
    </row>
    <row r="678" spans="1:2" ht="15.75" customHeight="1">
      <c r="A678" s="1"/>
      <c r="B678" s="1"/>
    </row>
    <row r="679" spans="1:2" ht="15.75" customHeight="1">
      <c r="A679" s="1"/>
      <c r="B679" s="1"/>
    </row>
    <row r="680" spans="1:2" ht="15.75" customHeight="1">
      <c r="A680" s="1"/>
      <c r="B680" s="1"/>
    </row>
    <row r="681" spans="1:2" ht="15.75" customHeight="1">
      <c r="A681" s="1"/>
      <c r="B681" s="1"/>
    </row>
    <row r="682" spans="1:2" ht="15.75" customHeight="1">
      <c r="A682" s="1"/>
      <c r="B682" s="1"/>
    </row>
    <row r="683" spans="1:2" ht="15.75" customHeight="1">
      <c r="A683" s="1"/>
      <c r="B683" s="1"/>
    </row>
    <row r="684" spans="1:2" ht="15.75" customHeight="1">
      <c r="A684" s="1"/>
      <c r="B684" s="1"/>
    </row>
    <row r="685" spans="1:2" ht="15.75" customHeight="1">
      <c r="A685" s="1"/>
      <c r="B685" s="1"/>
    </row>
    <row r="686" spans="1:2" ht="15.75" customHeight="1">
      <c r="A686" s="1"/>
      <c r="B686" s="1"/>
    </row>
    <row r="687" spans="1:2" ht="15.75" customHeight="1">
      <c r="A687" s="1"/>
      <c r="B687" s="1"/>
    </row>
    <row r="688" spans="1:2" ht="15.75" customHeight="1">
      <c r="A688" s="1"/>
      <c r="B688" s="1"/>
    </row>
    <row r="689" spans="1:2" ht="15.75" customHeight="1">
      <c r="A689" s="1"/>
      <c r="B689" s="1"/>
    </row>
    <row r="690" spans="1:2" ht="15.75" customHeight="1">
      <c r="A690" s="1"/>
      <c r="B690" s="1"/>
    </row>
    <row r="691" spans="1:2" ht="15.75" customHeight="1">
      <c r="A691" s="1"/>
      <c r="B691" s="1"/>
    </row>
    <row r="692" spans="1:2" ht="15.75" customHeight="1">
      <c r="A692" s="1"/>
      <c r="B692" s="1"/>
    </row>
    <row r="693" spans="1:2" ht="15.75" customHeight="1">
      <c r="A693" s="1"/>
      <c r="B693" s="1"/>
    </row>
    <row r="694" spans="1:2" ht="15.75" customHeight="1">
      <c r="A694" s="1"/>
      <c r="B694" s="1"/>
    </row>
    <row r="695" spans="1:2" ht="15.75" customHeight="1">
      <c r="A695" s="1"/>
      <c r="B695" s="1"/>
    </row>
    <row r="696" spans="1:2" ht="15.75" customHeight="1">
      <c r="A696" s="1"/>
      <c r="B696" s="1"/>
    </row>
    <row r="697" spans="1:2" ht="15.75" customHeight="1">
      <c r="A697" s="1"/>
      <c r="B697" s="1"/>
    </row>
    <row r="698" spans="1:2" ht="15.75" customHeight="1">
      <c r="A698" s="1"/>
      <c r="B698" s="1"/>
    </row>
    <row r="699" spans="1:2" ht="15.75" customHeight="1">
      <c r="A699" s="1"/>
      <c r="B699" s="1"/>
    </row>
    <row r="700" spans="1:2" ht="15.75" customHeight="1">
      <c r="A700" s="1"/>
      <c r="B700" s="1"/>
    </row>
    <row r="701" spans="1:2" ht="15.75" customHeight="1">
      <c r="A701" s="1"/>
      <c r="B701" s="1"/>
    </row>
    <row r="702" spans="1:2" ht="15.75" customHeight="1">
      <c r="A702" s="1"/>
      <c r="B702" s="1"/>
    </row>
    <row r="703" spans="1:2" ht="15.75" customHeight="1">
      <c r="A703" s="1"/>
      <c r="B703" s="1"/>
    </row>
    <row r="704" spans="1:2" ht="15.75" customHeight="1">
      <c r="A704" s="1"/>
      <c r="B704" s="1"/>
    </row>
    <row r="705" spans="1:2" ht="15.75" customHeight="1">
      <c r="A705" s="1"/>
      <c r="B705" s="1"/>
    </row>
    <row r="706" spans="1:2" ht="15.75" customHeight="1">
      <c r="A706" s="1"/>
      <c r="B706" s="1"/>
    </row>
    <row r="707" spans="1:2" ht="15.75" customHeight="1">
      <c r="A707" s="1"/>
      <c r="B707" s="1"/>
    </row>
    <row r="708" spans="1:2" ht="15.75" customHeight="1">
      <c r="A708" s="1"/>
      <c r="B708" s="1"/>
    </row>
    <row r="709" spans="1:2" ht="15.75" customHeight="1">
      <c r="A709" s="1"/>
      <c r="B709" s="1"/>
    </row>
    <row r="710" spans="1:2" ht="15.75" customHeight="1">
      <c r="A710" s="1"/>
      <c r="B710" s="1"/>
    </row>
    <row r="711" spans="1:2" ht="15.75" customHeight="1">
      <c r="A711" s="1"/>
      <c r="B711" s="1"/>
    </row>
    <row r="712" spans="1:2" ht="15.75" customHeight="1">
      <c r="A712" s="1"/>
      <c r="B712" s="1"/>
    </row>
    <row r="713" spans="1:2" ht="15.75" customHeight="1">
      <c r="A713" s="1"/>
      <c r="B713" s="1"/>
    </row>
    <row r="714" spans="1:2" ht="15.75" customHeight="1">
      <c r="A714" s="1"/>
      <c r="B714" s="1"/>
    </row>
    <row r="715" spans="1:2" ht="15.75" customHeight="1">
      <c r="A715" s="1"/>
      <c r="B715" s="1"/>
    </row>
    <row r="716" spans="1:2" ht="15.75" customHeight="1">
      <c r="A716" s="1"/>
      <c r="B716" s="1"/>
    </row>
    <row r="717" spans="1:2" ht="15.75" customHeight="1">
      <c r="A717" s="1"/>
      <c r="B717" s="1"/>
    </row>
    <row r="718" spans="1:2" ht="15.75" customHeight="1">
      <c r="A718" s="1"/>
      <c r="B718" s="1"/>
    </row>
    <row r="719" spans="1:2" ht="15.75" customHeight="1">
      <c r="A719" s="1"/>
      <c r="B719" s="1"/>
    </row>
    <row r="720" spans="1:2" ht="15.75" customHeight="1">
      <c r="A720" s="1"/>
      <c r="B720" s="1"/>
    </row>
    <row r="721" spans="1:2" ht="15.75" customHeight="1">
      <c r="A721" s="1"/>
      <c r="B721" s="1"/>
    </row>
    <row r="722" spans="1:2" ht="15.75" customHeight="1">
      <c r="A722" s="1"/>
      <c r="B722" s="1"/>
    </row>
    <row r="723" spans="1:2" ht="15.75" customHeight="1">
      <c r="A723" s="1"/>
      <c r="B723" s="1"/>
    </row>
    <row r="724" spans="1:2" ht="15.75" customHeight="1">
      <c r="A724" s="1"/>
      <c r="B724" s="1"/>
    </row>
    <row r="725" spans="1:2" ht="15.75" customHeight="1">
      <c r="A725" s="1"/>
      <c r="B725" s="1"/>
    </row>
    <row r="726" spans="1:2" ht="15.75" customHeight="1">
      <c r="A726" s="1"/>
      <c r="B726" s="1"/>
    </row>
    <row r="727" spans="1:2" ht="15.75" customHeight="1">
      <c r="A727" s="1"/>
      <c r="B727" s="1"/>
    </row>
    <row r="728" spans="1:2" ht="15.75" customHeight="1">
      <c r="A728" s="1"/>
      <c r="B728" s="1"/>
    </row>
    <row r="729" spans="1:2" ht="15.75" customHeight="1">
      <c r="A729" s="1"/>
      <c r="B729" s="1"/>
    </row>
    <row r="730" spans="1:2" ht="15.75" customHeight="1">
      <c r="A730" s="1"/>
      <c r="B730" s="1"/>
    </row>
    <row r="731" spans="1:2" ht="15.75" customHeight="1">
      <c r="A731" s="1"/>
      <c r="B731" s="1"/>
    </row>
    <row r="732" spans="1:2" ht="15.75" customHeight="1">
      <c r="A732" s="1"/>
      <c r="B732" s="1"/>
    </row>
    <row r="733" spans="1:2" ht="15.75" customHeight="1">
      <c r="A733" s="1"/>
      <c r="B733" s="1"/>
    </row>
    <row r="734" spans="1:2" ht="15.75" customHeight="1">
      <c r="A734" s="1"/>
      <c r="B734" s="1"/>
    </row>
    <row r="735" spans="1:2" ht="15.75" customHeight="1">
      <c r="A735" s="1"/>
      <c r="B735" s="1"/>
    </row>
    <row r="736" spans="1:2" ht="15.75" customHeight="1">
      <c r="A736" s="1"/>
      <c r="B736" s="1"/>
    </row>
    <row r="737" spans="1:2" ht="15.75" customHeight="1">
      <c r="A737" s="1"/>
      <c r="B737" s="1"/>
    </row>
    <row r="738" spans="1:2" ht="15.75" customHeight="1">
      <c r="A738" s="1"/>
      <c r="B738" s="1"/>
    </row>
    <row r="739" spans="1:2" ht="15.75" customHeight="1">
      <c r="A739" s="1"/>
      <c r="B739" s="1"/>
    </row>
    <row r="740" spans="1:2" ht="15.75" customHeight="1">
      <c r="A740" s="1"/>
      <c r="B740" s="1"/>
    </row>
    <row r="741" spans="1:2" ht="15.75" customHeight="1">
      <c r="A741" s="1"/>
      <c r="B741" s="1"/>
    </row>
    <row r="742" spans="1:2" ht="15.75" customHeight="1">
      <c r="A742" s="1"/>
      <c r="B742" s="1"/>
    </row>
    <row r="743" spans="1:2" ht="15.75" customHeight="1">
      <c r="A743" s="1"/>
      <c r="B743" s="1"/>
    </row>
    <row r="744" spans="1:2" ht="15.75" customHeight="1">
      <c r="A744" s="1"/>
      <c r="B744" s="1"/>
    </row>
    <row r="745" spans="1:2" ht="15.75" customHeight="1">
      <c r="A745" s="1"/>
      <c r="B745" s="1"/>
    </row>
    <row r="746" spans="1:2" ht="15.75" customHeight="1">
      <c r="A746" s="1"/>
      <c r="B746" s="1"/>
    </row>
    <row r="747" spans="1:2" ht="15.75" customHeight="1">
      <c r="A747" s="1"/>
      <c r="B747" s="1"/>
    </row>
    <row r="748" spans="1:2" ht="15.75" customHeight="1">
      <c r="A748" s="1"/>
      <c r="B748" s="1"/>
    </row>
    <row r="749" spans="1:2" ht="15.75" customHeight="1">
      <c r="A749" s="1"/>
      <c r="B749" s="1"/>
    </row>
    <row r="750" spans="1:2" ht="15.75" customHeight="1">
      <c r="A750" s="1"/>
      <c r="B750" s="1"/>
    </row>
    <row r="751" spans="1:2" ht="15.75" customHeight="1">
      <c r="A751" s="1"/>
      <c r="B751" s="1"/>
    </row>
    <row r="752" spans="1:2" ht="15.75" customHeight="1">
      <c r="A752" s="1"/>
      <c r="B752" s="1"/>
    </row>
    <row r="753" spans="1:2" ht="15.75" customHeight="1">
      <c r="A753" s="1"/>
      <c r="B753" s="1"/>
    </row>
    <row r="754" spans="1:2" ht="15.75" customHeight="1">
      <c r="A754" s="1"/>
      <c r="B754" s="1"/>
    </row>
    <row r="755" spans="1:2" ht="15.75" customHeight="1">
      <c r="A755" s="1"/>
      <c r="B755" s="1"/>
    </row>
    <row r="756" spans="1:2" ht="15.75" customHeight="1">
      <c r="A756" s="1"/>
      <c r="B756" s="1"/>
    </row>
    <row r="757" spans="1:2" ht="15.75" customHeight="1">
      <c r="A757" s="1"/>
      <c r="B757" s="1"/>
    </row>
    <row r="758" spans="1:2" ht="15.75" customHeight="1">
      <c r="A758" s="1"/>
      <c r="B758" s="1"/>
    </row>
    <row r="759" spans="1:2" ht="15.75" customHeight="1">
      <c r="A759" s="1"/>
      <c r="B759" s="1"/>
    </row>
    <row r="760" spans="1:2" ht="15.75" customHeight="1">
      <c r="A760" s="1"/>
      <c r="B760" s="1"/>
    </row>
    <row r="761" spans="1:2" ht="15.75" customHeight="1">
      <c r="A761" s="1"/>
      <c r="B761" s="1"/>
    </row>
    <row r="762" spans="1:2" ht="15.75" customHeight="1">
      <c r="A762" s="1"/>
      <c r="B762" s="1"/>
    </row>
    <row r="763" spans="1:2" ht="15.75" customHeight="1">
      <c r="A763" s="1"/>
      <c r="B763" s="1"/>
    </row>
    <row r="764" spans="1:2" ht="15.75" customHeight="1">
      <c r="A764" s="1"/>
      <c r="B764" s="1"/>
    </row>
    <row r="765" spans="1:2" ht="15.75" customHeight="1">
      <c r="A765" s="1"/>
      <c r="B765" s="1"/>
    </row>
    <row r="766" spans="1:2" ht="15.75" customHeight="1">
      <c r="A766" s="1"/>
      <c r="B766" s="1"/>
    </row>
    <row r="767" spans="1:2" ht="15.75" customHeight="1">
      <c r="A767" s="1"/>
      <c r="B767" s="1"/>
    </row>
    <row r="768" spans="1:2" ht="15.75" customHeight="1">
      <c r="A768" s="1"/>
      <c r="B768" s="1"/>
    </row>
    <row r="769" spans="1:2" ht="15.75" customHeight="1">
      <c r="A769" s="1"/>
      <c r="B769" s="1"/>
    </row>
    <row r="770" spans="1:2" ht="15.75" customHeight="1">
      <c r="A770" s="1"/>
      <c r="B770" s="1"/>
    </row>
    <row r="771" spans="1:2" ht="15.75" customHeight="1">
      <c r="A771" s="1"/>
      <c r="B771" s="1"/>
    </row>
    <row r="772" spans="1:2" ht="15.75" customHeight="1">
      <c r="A772" s="1"/>
      <c r="B772" s="1"/>
    </row>
    <row r="773" spans="1:2" ht="15.75" customHeight="1">
      <c r="A773" s="1"/>
      <c r="B773" s="1"/>
    </row>
    <row r="774" spans="1:2" ht="15.75" customHeight="1">
      <c r="A774" s="1"/>
      <c r="B774" s="1"/>
    </row>
    <row r="775" spans="1:2" ht="15.75" customHeight="1">
      <c r="A775" s="1"/>
      <c r="B775" s="1"/>
    </row>
    <row r="776" spans="1:2" ht="15.75" customHeight="1">
      <c r="A776" s="1"/>
      <c r="B776" s="1"/>
    </row>
    <row r="777" spans="1:2" ht="15.75" customHeight="1">
      <c r="A777" s="1"/>
      <c r="B777" s="1"/>
    </row>
    <row r="778" spans="1:2" ht="15.75" customHeight="1">
      <c r="A778" s="1"/>
      <c r="B778" s="1"/>
    </row>
    <row r="779" spans="1:2" ht="15.75" customHeight="1">
      <c r="A779" s="1"/>
      <c r="B779" s="1"/>
    </row>
    <row r="780" spans="1:2" ht="15.75" customHeight="1">
      <c r="A780" s="1"/>
      <c r="B780" s="1"/>
    </row>
    <row r="781" spans="1:2" ht="15.75" customHeight="1">
      <c r="A781" s="1"/>
      <c r="B781" s="1"/>
    </row>
    <row r="782" spans="1:2" ht="15.75" customHeight="1">
      <c r="A782" s="1"/>
      <c r="B782" s="1"/>
    </row>
    <row r="783" spans="1:2" ht="15.75" customHeight="1">
      <c r="A783" s="1"/>
      <c r="B783" s="1"/>
    </row>
    <row r="784" spans="1:2" ht="15.75" customHeight="1">
      <c r="A784" s="1"/>
      <c r="B784" s="1"/>
    </row>
    <row r="785" spans="1:2" ht="15.75" customHeight="1">
      <c r="A785" s="1"/>
      <c r="B785" s="1"/>
    </row>
    <row r="786" spans="1:2" ht="15.75" customHeight="1">
      <c r="A786" s="1"/>
      <c r="B786" s="1"/>
    </row>
    <row r="787" spans="1:2" ht="15.75" customHeight="1">
      <c r="A787" s="1"/>
      <c r="B787" s="1"/>
    </row>
    <row r="788" spans="1:2" ht="15.75" customHeight="1">
      <c r="A788" s="1"/>
      <c r="B788" s="1"/>
    </row>
    <row r="789" spans="1:2" ht="15.75" customHeight="1">
      <c r="A789" s="1"/>
      <c r="B789" s="1"/>
    </row>
    <row r="790" spans="1:2" ht="15.75" customHeight="1">
      <c r="A790" s="1"/>
      <c r="B790" s="1"/>
    </row>
    <row r="791" spans="1:2" ht="15.75" customHeight="1">
      <c r="A791" s="1"/>
      <c r="B791" s="1"/>
    </row>
    <row r="792" spans="1:2" ht="15.75" customHeight="1">
      <c r="A792" s="1"/>
      <c r="B792" s="1"/>
    </row>
    <row r="793" spans="1:2" ht="15.75" customHeight="1">
      <c r="A793" s="1"/>
      <c r="B793" s="1"/>
    </row>
    <row r="794" spans="1:2" ht="15.75" customHeight="1">
      <c r="A794" s="1"/>
      <c r="B794" s="1"/>
    </row>
    <row r="795" spans="1:2" ht="15.75" customHeight="1">
      <c r="A795" s="1"/>
      <c r="B795" s="1"/>
    </row>
    <row r="796" spans="1:2" ht="15.75" customHeight="1">
      <c r="A796" s="1"/>
      <c r="B796" s="1"/>
    </row>
    <row r="797" spans="1:2" ht="15.75" customHeight="1">
      <c r="A797" s="1"/>
      <c r="B797" s="1"/>
    </row>
    <row r="798" spans="1:2" ht="15.75" customHeight="1">
      <c r="A798" s="1"/>
      <c r="B798" s="1"/>
    </row>
    <row r="799" spans="1:2" ht="15.75" customHeight="1">
      <c r="A799" s="1"/>
      <c r="B799" s="1"/>
    </row>
    <row r="800" spans="1:2" ht="15.75" customHeight="1">
      <c r="A800" s="1"/>
      <c r="B800" s="1"/>
    </row>
    <row r="801" spans="1:2" ht="15.75" customHeight="1">
      <c r="A801" s="1"/>
      <c r="B801" s="1"/>
    </row>
    <row r="802" spans="1:2" ht="15.75" customHeight="1">
      <c r="A802" s="1"/>
      <c r="B802" s="1"/>
    </row>
    <row r="803" spans="1:2" ht="15.75" customHeight="1">
      <c r="A803" s="1"/>
      <c r="B803" s="1"/>
    </row>
    <row r="804" spans="1:2" ht="15.75" customHeight="1">
      <c r="A804" s="1"/>
      <c r="B804" s="1"/>
    </row>
    <row r="805" spans="1:2" ht="15.75" customHeight="1">
      <c r="A805" s="1"/>
      <c r="B805" s="1"/>
    </row>
    <row r="806" spans="1:2" ht="15.75" customHeight="1">
      <c r="A806" s="1"/>
      <c r="B806" s="1"/>
    </row>
    <row r="807" spans="1:2" ht="15.75" customHeight="1">
      <c r="A807" s="1"/>
      <c r="B807" s="1"/>
    </row>
    <row r="808" spans="1:2" ht="15.75" customHeight="1">
      <c r="A808" s="1"/>
      <c r="B808" s="1"/>
    </row>
    <row r="809" spans="1:2" ht="15.75" customHeight="1">
      <c r="A809" s="1"/>
      <c r="B809" s="1"/>
    </row>
    <row r="810" spans="1:2" ht="15.75" customHeight="1">
      <c r="A810" s="1"/>
      <c r="B810" s="1"/>
    </row>
    <row r="811" spans="1:2" ht="15.75" customHeight="1">
      <c r="A811" s="1"/>
      <c r="B811" s="1"/>
    </row>
    <row r="812" spans="1:2" ht="15.75" customHeight="1">
      <c r="A812" s="1"/>
      <c r="B812" s="1"/>
    </row>
    <row r="813" spans="1:2" ht="15.75" customHeight="1">
      <c r="A813" s="1"/>
      <c r="B813" s="1"/>
    </row>
    <row r="814" spans="1:2" ht="15.75" customHeight="1">
      <c r="A814" s="1"/>
      <c r="B814" s="1"/>
    </row>
    <row r="815" spans="1:2" ht="15.75" customHeight="1">
      <c r="A815" s="1"/>
      <c r="B815" s="1"/>
    </row>
    <row r="816" spans="1:2" ht="15.75" customHeight="1">
      <c r="A816" s="1"/>
      <c r="B816" s="1"/>
    </row>
    <row r="817" spans="1:2" ht="15.75" customHeight="1">
      <c r="A817" s="1"/>
      <c r="B817" s="1"/>
    </row>
    <row r="818" spans="1:2" ht="15.75" customHeight="1">
      <c r="A818" s="1"/>
      <c r="B818" s="1"/>
    </row>
    <row r="819" spans="1:2" ht="15.75" customHeight="1">
      <c r="A819" s="1"/>
      <c r="B819" s="1"/>
    </row>
    <row r="820" spans="1:2" ht="15.75" customHeight="1">
      <c r="A820" s="1"/>
      <c r="B820" s="1"/>
    </row>
    <row r="821" spans="1:2" ht="15.75" customHeight="1">
      <c r="A821" s="1"/>
      <c r="B821" s="1"/>
    </row>
    <row r="822" spans="1:2" ht="15.75" customHeight="1">
      <c r="A822" s="1"/>
      <c r="B822" s="1"/>
    </row>
    <row r="823" spans="1:2" ht="15.75" customHeight="1">
      <c r="A823" s="1"/>
      <c r="B823" s="1"/>
    </row>
    <row r="824" spans="1:2" ht="15.75" customHeight="1">
      <c r="A824" s="1"/>
      <c r="B824" s="1"/>
    </row>
    <row r="825" spans="1:2" ht="15.75" customHeight="1">
      <c r="A825" s="1"/>
      <c r="B825" s="1"/>
    </row>
    <row r="826" spans="1:2" ht="15.75" customHeight="1">
      <c r="A826" s="1"/>
      <c r="B826" s="1"/>
    </row>
    <row r="827" spans="1:2" ht="15.75" customHeight="1">
      <c r="A827" s="1"/>
      <c r="B827" s="1"/>
    </row>
    <row r="828" spans="1:2" ht="15.75" customHeight="1">
      <c r="A828" s="1"/>
      <c r="B828" s="1"/>
    </row>
    <row r="829" spans="1:2" ht="15.75" customHeight="1">
      <c r="A829" s="1"/>
      <c r="B829" s="1"/>
    </row>
    <row r="830" spans="1:2" ht="15.75" customHeight="1">
      <c r="A830" s="1"/>
      <c r="B830" s="1"/>
    </row>
    <row r="831" spans="1:2" ht="15.75" customHeight="1">
      <c r="A831" s="1"/>
      <c r="B831" s="1"/>
    </row>
    <row r="832" spans="1:2" ht="15.75" customHeight="1">
      <c r="A832" s="1"/>
      <c r="B832" s="1"/>
    </row>
    <row r="833" spans="1:2" ht="15.75" customHeight="1">
      <c r="A833" s="1"/>
      <c r="B833" s="1"/>
    </row>
    <row r="834" spans="1:2" ht="15.75" customHeight="1">
      <c r="A834" s="1"/>
      <c r="B834" s="1"/>
    </row>
    <row r="835" spans="1:2" ht="15.75" customHeight="1">
      <c r="A835" s="1"/>
      <c r="B835" s="1"/>
    </row>
    <row r="836" spans="1:2" ht="15.75" customHeight="1">
      <c r="A836" s="1"/>
      <c r="B836" s="1"/>
    </row>
    <row r="837" spans="1:2" ht="15.75" customHeight="1">
      <c r="A837" s="1"/>
      <c r="B837" s="1"/>
    </row>
    <row r="838" spans="1:2" ht="15.75" customHeight="1">
      <c r="A838" s="1"/>
      <c r="B838" s="1"/>
    </row>
    <row r="839" spans="1:2" ht="15.75" customHeight="1">
      <c r="A839" s="1"/>
      <c r="B839" s="1"/>
    </row>
    <row r="840" spans="1:2" ht="15.75" customHeight="1">
      <c r="A840" s="1"/>
      <c r="B840" s="1"/>
    </row>
    <row r="841" spans="1:2" ht="15.75" customHeight="1">
      <c r="A841" s="1"/>
      <c r="B841" s="1"/>
    </row>
    <row r="842" spans="1:2" ht="15.75" customHeight="1">
      <c r="A842" s="1"/>
      <c r="B842" s="1"/>
    </row>
    <row r="843" spans="1:2" ht="15.75" customHeight="1">
      <c r="A843" s="1"/>
      <c r="B843" s="1"/>
    </row>
    <row r="844" spans="1:2" ht="15.75" customHeight="1">
      <c r="A844" s="1"/>
      <c r="B844" s="1"/>
    </row>
    <row r="845" spans="1:2" ht="15.75" customHeight="1">
      <c r="A845" s="1"/>
      <c r="B845" s="1"/>
    </row>
    <row r="846" spans="1:2" ht="15.75" customHeight="1">
      <c r="A846" s="1"/>
      <c r="B846" s="1"/>
    </row>
    <row r="847" spans="1:2" ht="15.75" customHeight="1">
      <c r="A847" s="1"/>
      <c r="B847" s="1"/>
    </row>
    <row r="848" spans="1:2" ht="15.75" customHeight="1">
      <c r="A848" s="1"/>
      <c r="B848" s="1"/>
    </row>
    <row r="849" spans="1:2" ht="15.75" customHeight="1">
      <c r="A849" s="1"/>
      <c r="B849" s="1"/>
    </row>
    <row r="850" spans="1:2" ht="15.75" customHeight="1">
      <c r="A850" s="1"/>
      <c r="B850" s="1"/>
    </row>
    <row r="851" spans="1:2" ht="15.75" customHeight="1">
      <c r="A851" s="1"/>
      <c r="B851" s="1"/>
    </row>
    <row r="852" spans="1:2" ht="15.75" customHeight="1">
      <c r="A852" s="1"/>
      <c r="B852" s="1"/>
    </row>
    <row r="853" spans="1:2" ht="15.75" customHeight="1">
      <c r="A853" s="1"/>
      <c r="B853" s="1"/>
    </row>
    <row r="854" spans="1:2" ht="15.75" customHeight="1">
      <c r="A854" s="1"/>
      <c r="B854" s="1"/>
    </row>
    <row r="855" spans="1:2" ht="15.75" customHeight="1">
      <c r="A855" s="1"/>
      <c r="B855" s="1"/>
    </row>
    <row r="856" spans="1:2" ht="15.75" customHeight="1">
      <c r="A856" s="1"/>
      <c r="B856" s="1"/>
    </row>
    <row r="857" spans="1:2" ht="15.75" customHeight="1">
      <c r="A857" s="1"/>
      <c r="B857" s="1"/>
    </row>
    <row r="858" spans="1:2" ht="15.75" customHeight="1">
      <c r="A858" s="1"/>
      <c r="B858" s="1"/>
    </row>
    <row r="859" spans="1:2" ht="15.75" customHeight="1">
      <c r="A859" s="1"/>
      <c r="B859" s="1"/>
    </row>
    <row r="860" spans="1:2" ht="15.75" customHeight="1">
      <c r="A860" s="1"/>
      <c r="B860" s="1"/>
    </row>
    <row r="861" spans="1:2" ht="15.75" customHeight="1">
      <c r="A861" s="1"/>
      <c r="B861" s="1"/>
    </row>
    <row r="862" spans="1:2" ht="15.75" customHeight="1">
      <c r="A862" s="1"/>
      <c r="B862" s="1"/>
    </row>
    <row r="863" spans="1:2" ht="15.75" customHeight="1">
      <c r="A863" s="1"/>
      <c r="B863" s="1"/>
    </row>
    <row r="864" spans="1:2" ht="15.75" customHeight="1">
      <c r="A864" s="1"/>
      <c r="B864" s="1"/>
    </row>
    <row r="865" spans="1:2" ht="15.75" customHeight="1">
      <c r="A865" s="1"/>
      <c r="B865" s="1"/>
    </row>
    <row r="866" spans="1:2" ht="15.75" customHeight="1">
      <c r="A866" s="1"/>
      <c r="B866" s="1"/>
    </row>
    <row r="867" spans="1:2" ht="15.75" customHeight="1">
      <c r="A867" s="1"/>
      <c r="B867" s="1"/>
    </row>
    <row r="868" spans="1:2" ht="15.75" customHeight="1">
      <c r="A868" s="1"/>
      <c r="B868" s="1"/>
    </row>
    <row r="869" spans="1:2" ht="15.75" customHeight="1">
      <c r="A869" s="1"/>
      <c r="B869" s="1"/>
    </row>
    <row r="870" spans="1:2" ht="15.75" customHeight="1">
      <c r="A870" s="1"/>
      <c r="B870" s="1"/>
    </row>
    <row r="871" spans="1:2" ht="15.75" customHeight="1">
      <c r="A871" s="1"/>
      <c r="B871" s="1"/>
    </row>
    <row r="872" spans="1:2" ht="15.75" customHeight="1">
      <c r="A872" s="1"/>
      <c r="B872" s="1"/>
    </row>
    <row r="873" spans="1:2" ht="15.75" customHeight="1">
      <c r="A873" s="1"/>
      <c r="B873" s="1"/>
    </row>
    <row r="874" spans="1:2" ht="15.75" customHeight="1">
      <c r="A874" s="1"/>
      <c r="B874" s="1"/>
    </row>
    <row r="875" spans="1:2" ht="15.75" customHeight="1">
      <c r="A875" s="1"/>
      <c r="B875" s="1"/>
    </row>
    <row r="876" spans="1:2" ht="15.75" customHeight="1">
      <c r="A876" s="1"/>
      <c r="B876" s="1"/>
    </row>
    <row r="877" spans="1:2" ht="15.75" customHeight="1">
      <c r="A877" s="1"/>
      <c r="B877" s="1"/>
    </row>
    <row r="878" spans="1:2" ht="15.75" customHeight="1">
      <c r="A878" s="1"/>
      <c r="B878" s="1"/>
    </row>
    <row r="879" spans="1:2" ht="15.75" customHeight="1">
      <c r="A879" s="1"/>
      <c r="B879" s="1"/>
    </row>
    <row r="880" spans="1:2" ht="15.75" customHeight="1">
      <c r="A880" s="1"/>
      <c r="B880" s="1"/>
    </row>
    <row r="881" spans="1:2" ht="15.75" customHeight="1">
      <c r="A881" s="1"/>
      <c r="B881" s="1"/>
    </row>
    <row r="882" spans="1:2" ht="15.75" customHeight="1">
      <c r="A882" s="1"/>
      <c r="B882" s="1"/>
    </row>
    <row r="883" spans="1:2" ht="15.75" customHeight="1">
      <c r="A883" s="1"/>
      <c r="B883" s="1"/>
    </row>
    <row r="884" spans="1:2" ht="15.75" customHeight="1">
      <c r="A884" s="1"/>
      <c r="B884" s="1"/>
    </row>
    <row r="885" spans="1:2" ht="15.75" customHeight="1">
      <c r="A885" s="1"/>
      <c r="B885" s="1"/>
    </row>
    <row r="886" spans="1:2" ht="15.75" customHeight="1">
      <c r="A886" s="1"/>
      <c r="B886" s="1"/>
    </row>
    <row r="887" spans="1:2" ht="15.75" customHeight="1">
      <c r="A887" s="1"/>
      <c r="B887" s="1"/>
    </row>
    <row r="888" spans="1:2" ht="15.75" customHeight="1">
      <c r="A888" s="1"/>
      <c r="B888" s="1"/>
    </row>
    <row r="889" spans="1:2" ht="15.75" customHeight="1">
      <c r="A889" s="1"/>
      <c r="B889" s="1"/>
    </row>
    <row r="890" spans="1:2" ht="15.75" customHeight="1">
      <c r="A890" s="1"/>
      <c r="B890" s="1"/>
    </row>
    <row r="891" spans="1:2" ht="15.75" customHeight="1">
      <c r="A891" s="1"/>
      <c r="B891" s="1"/>
    </row>
    <row r="892" spans="1:2" ht="15.75" customHeight="1">
      <c r="A892" s="1"/>
      <c r="B892" s="1"/>
    </row>
    <row r="893" spans="1:2" ht="15.75" customHeight="1">
      <c r="A893" s="1"/>
      <c r="B893" s="1"/>
    </row>
    <row r="894" spans="1:2" ht="15.75" customHeight="1">
      <c r="A894" s="1"/>
      <c r="B894" s="1"/>
    </row>
    <row r="895" spans="1:2" ht="15.75" customHeight="1">
      <c r="A895" s="1"/>
      <c r="B895" s="1"/>
    </row>
    <row r="896" spans="1:2" ht="15.75" customHeight="1">
      <c r="A896" s="1"/>
      <c r="B896" s="1"/>
    </row>
    <row r="897" spans="1:2" ht="15.75" customHeight="1">
      <c r="A897" s="1"/>
      <c r="B897" s="1"/>
    </row>
    <row r="898" spans="1:2" ht="15.75" customHeight="1">
      <c r="A898" s="1"/>
      <c r="B898" s="1"/>
    </row>
    <row r="899" spans="1:2" ht="15.75" customHeight="1">
      <c r="A899" s="1"/>
      <c r="B899" s="1"/>
    </row>
    <row r="900" spans="1:2" ht="15.75" customHeight="1">
      <c r="A900" s="1"/>
      <c r="B900" s="1"/>
    </row>
    <row r="901" spans="1:2" ht="15.75" customHeight="1">
      <c r="A901" s="1"/>
      <c r="B901" s="1"/>
    </row>
    <row r="902" spans="1:2" ht="15.75" customHeight="1">
      <c r="A902" s="1"/>
      <c r="B902" s="1"/>
    </row>
    <row r="903" spans="1:2" ht="15.75" customHeight="1">
      <c r="A903" s="1"/>
      <c r="B903" s="1"/>
    </row>
    <row r="904" spans="1:2" ht="15.75" customHeight="1">
      <c r="A904" s="1"/>
      <c r="B904" s="1"/>
    </row>
    <row r="905" spans="1:2" ht="15.75" customHeight="1">
      <c r="A905" s="1"/>
      <c r="B905" s="1"/>
    </row>
    <row r="906" spans="1:2" ht="15.75" customHeight="1">
      <c r="A906" s="1"/>
      <c r="B906" s="1"/>
    </row>
    <row r="907" spans="1:2" ht="15.75" customHeight="1">
      <c r="A907" s="1"/>
      <c r="B907" s="1"/>
    </row>
    <row r="908" spans="1:2" ht="15.75" customHeight="1">
      <c r="A908" s="1"/>
      <c r="B908" s="1"/>
    </row>
    <row r="909" spans="1:2" ht="15.75" customHeight="1">
      <c r="A909" s="1"/>
      <c r="B909" s="1"/>
    </row>
    <row r="910" spans="1:2" ht="15.75" customHeight="1">
      <c r="A910" s="1"/>
      <c r="B910" s="1"/>
    </row>
    <row r="911" spans="1:2" ht="15.75" customHeight="1">
      <c r="A911" s="1"/>
      <c r="B911" s="1"/>
    </row>
    <row r="912" spans="1:2" ht="15.75" customHeight="1">
      <c r="A912" s="1"/>
      <c r="B912" s="1"/>
    </row>
    <row r="913" spans="1:2" ht="15.75" customHeight="1">
      <c r="A913" s="1"/>
      <c r="B913" s="1"/>
    </row>
    <row r="914" spans="1:2" ht="15.75" customHeight="1">
      <c r="A914" s="1"/>
      <c r="B914" s="1"/>
    </row>
    <row r="915" spans="1:2" ht="15.75" customHeight="1">
      <c r="A915" s="1"/>
      <c r="B915" s="1"/>
    </row>
    <row r="916" spans="1:2" ht="15.75" customHeight="1">
      <c r="A916" s="1"/>
      <c r="B916" s="1"/>
    </row>
    <row r="917" spans="1:2" ht="15.75" customHeight="1">
      <c r="A917" s="1"/>
      <c r="B917" s="1"/>
    </row>
    <row r="918" spans="1:2" ht="15.75" customHeight="1">
      <c r="A918" s="1"/>
      <c r="B918" s="1"/>
    </row>
    <row r="919" spans="1:2" ht="15.75" customHeight="1">
      <c r="A919" s="1"/>
      <c r="B919" s="1"/>
    </row>
    <row r="920" spans="1:2" ht="15.75" customHeight="1">
      <c r="A920" s="1"/>
      <c r="B920" s="1"/>
    </row>
    <row r="921" spans="1:2" ht="15.75" customHeight="1">
      <c r="A921" s="1"/>
      <c r="B921" s="1"/>
    </row>
    <row r="922" spans="1:2" ht="15.75" customHeight="1">
      <c r="A922" s="1"/>
      <c r="B922" s="1"/>
    </row>
    <row r="923" spans="1:2" ht="15.75" customHeight="1">
      <c r="A923" s="1"/>
      <c r="B923" s="1"/>
    </row>
    <row r="924" spans="1:2" ht="15.75" customHeight="1">
      <c r="A924" s="1"/>
      <c r="B924" s="1"/>
    </row>
    <row r="925" spans="1:2" ht="15.75" customHeight="1">
      <c r="A925" s="1"/>
      <c r="B925" s="1"/>
    </row>
    <row r="926" spans="1:2" ht="15.75" customHeight="1">
      <c r="A926" s="1"/>
      <c r="B926" s="1"/>
    </row>
    <row r="927" spans="1:2" ht="15.75" customHeight="1">
      <c r="A927" s="1"/>
      <c r="B927" s="1"/>
    </row>
    <row r="928" spans="1:2" ht="15.75" customHeight="1">
      <c r="A928" s="1"/>
      <c r="B928" s="1"/>
    </row>
    <row r="929" spans="1:2" ht="15.75" customHeight="1">
      <c r="A929" s="1"/>
      <c r="B929" s="1"/>
    </row>
    <row r="930" spans="1:2" ht="15.75" customHeight="1">
      <c r="A930" s="1"/>
      <c r="B930" s="1"/>
    </row>
    <row r="931" spans="1:2" ht="15.75" customHeight="1">
      <c r="A931" s="1"/>
      <c r="B931" s="1"/>
    </row>
    <row r="932" spans="1:2" ht="15.75" customHeight="1">
      <c r="A932" s="1"/>
      <c r="B932" s="1"/>
    </row>
    <row r="933" spans="1:2" ht="15.75" customHeight="1">
      <c r="A933" s="1"/>
      <c r="B933" s="1"/>
    </row>
    <row r="934" spans="1:2" ht="15.75" customHeight="1">
      <c r="A934" s="1"/>
      <c r="B934" s="1"/>
    </row>
    <row r="935" spans="1:2" ht="15.75" customHeight="1">
      <c r="A935" s="1"/>
      <c r="B935" s="1"/>
    </row>
    <row r="936" spans="1:2" ht="15.75" customHeight="1">
      <c r="A936" s="1"/>
      <c r="B936" s="1"/>
    </row>
    <row r="937" spans="1:2" ht="15.75" customHeight="1">
      <c r="A937" s="1"/>
      <c r="B937" s="1"/>
    </row>
    <row r="938" spans="1:2" ht="15.75" customHeight="1">
      <c r="A938" s="1"/>
      <c r="B938" s="1"/>
    </row>
    <row r="939" spans="1:2" ht="15.75" customHeight="1">
      <c r="A939" s="1"/>
      <c r="B939" s="1"/>
    </row>
    <row r="940" spans="1:2" ht="15.75" customHeight="1">
      <c r="A940" s="1"/>
      <c r="B940" s="1"/>
    </row>
    <row r="941" spans="1:2" ht="15.75" customHeight="1">
      <c r="A941" s="1"/>
      <c r="B941" s="1"/>
    </row>
    <row r="942" spans="1:2" ht="15.75" customHeight="1">
      <c r="A942" s="1"/>
      <c r="B942" s="1"/>
    </row>
    <row r="943" spans="1:2" ht="15.75" customHeight="1">
      <c r="A943" s="1"/>
      <c r="B943" s="1"/>
    </row>
    <row r="944" spans="1:2" ht="15.75" customHeight="1">
      <c r="A944" s="1"/>
      <c r="B944" s="1"/>
    </row>
    <row r="945" spans="1:2" ht="15.75" customHeight="1">
      <c r="A945" s="1"/>
      <c r="B945" s="1"/>
    </row>
    <row r="946" spans="1:2" ht="15.75" customHeight="1">
      <c r="A946" s="1"/>
      <c r="B946" s="1"/>
    </row>
    <row r="947" spans="1:2" ht="15.75" customHeight="1">
      <c r="A947" s="1"/>
      <c r="B947" s="1"/>
    </row>
    <row r="948" spans="1:2" ht="15.75" customHeight="1">
      <c r="A948" s="1"/>
      <c r="B948" s="1"/>
    </row>
    <row r="949" spans="1:2" ht="15.75" customHeight="1">
      <c r="A949" s="1"/>
      <c r="B949" s="1"/>
    </row>
    <row r="950" spans="1:2" ht="15.75" customHeight="1">
      <c r="A950" s="1"/>
      <c r="B950" s="1"/>
    </row>
    <row r="951" spans="1:2" ht="15.75" customHeight="1">
      <c r="A951" s="1"/>
      <c r="B951" s="1"/>
    </row>
    <row r="952" spans="1:2" ht="15.75" customHeight="1">
      <c r="A952" s="1"/>
      <c r="B952" s="1"/>
    </row>
    <row r="953" spans="1:2" ht="15.75" customHeight="1">
      <c r="A953" s="1"/>
      <c r="B953" s="1"/>
    </row>
    <row r="954" spans="1:2" ht="15.75" customHeight="1">
      <c r="A954" s="1"/>
      <c r="B954" s="1"/>
    </row>
    <row r="955" spans="1:2" ht="15.75" customHeight="1">
      <c r="A955" s="1"/>
      <c r="B955" s="1"/>
    </row>
    <row r="956" spans="1:2" ht="15.75" customHeight="1">
      <c r="A956" s="1"/>
      <c r="B956" s="1"/>
    </row>
    <row r="957" spans="1:2" ht="15.75" customHeight="1">
      <c r="A957" s="1"/>
      <c r="B957" s="1"/>
    </row>
    <row r="958" spans="1:2" ht="15.75" customHeight="1">
      <c r="A958" s="1"/>
      <c r="B958" s="1"/>
    </row>
    <row r="959" spans="1:2" ht="15.75" customHeight="1">
      <c r="A959" s="1"/>
      <c r="B959" s="1"/>
    </row>
    <row r="960" spans="1:2" ht="15.75" customHeight="1">
      <c r="A960" s="1"/>
      <c r="B960" s="1"/>
    </row>
    <row r="961" spans="1:2" ht="15.75" customHeight="1">
      <c r="A961" s="1"/>
      <c r="B961" s="1"/>
    </row>
    <row r="962" spans="1:2" ht="15.75" customHeight="1">
      <c r="A962" s="1"/>
      <c r="B962" s="1"/>
    </row>
    <row r="963" spans="1:2" ht="15.75" customHeight="1">
      <c r="A963" s="1"/>
      <c r="B963" s="1"/>
    </row>
    <row r="964" spans="1:2" ht="15.75" customHeight="1">
      <c r="A964" s="1"/>
      <c r="B964" s="1"/>
    </row>
    <row r="965" spans="1:2" ht="15.75" customHeight="1">
      <c r="A965" s="1"/>
      <c r="B965" s="1"/>
    </row>
    <row r="966" spans="1:2" ht="15.75" customHeight="1">
      <c r="A966" s="1"/>
      <c r="B966" s="1"/>
    </row>
    <row r="967" spans="1:2" ht="15.75" customHeight="1">
      <c r="A967" s="1"/>
      <c r="B967" s="1"/>
    </row>
    <row r="968" spans="1:2" ht="15.75" customHeight="1">
      <c r="A968" s="1"/>
      <c r="B968" s="1"/>
    </row>
    <row r="969" spans="1:2" ht="15.75" customHeight="1">
      <c r="A969" s="1"/>
      <c r="B969" s="1"/>
    </row>
    <row r="970" spans="1:2" ht="15.75" customHeight="1">
      <c r="A970" s="1"/>
      <c r="B970" s="1"/>
    </row>
    <row r="971" spans="1:2" ht="15.75" customHeight="1">
      <c r="A971" s="1"/>
      <c r="B971" s="1"/>
    </row>
    <row r="972" spans="1:2" ht="15.75" customHeight="1">
      <c r="A972" s="1"/>
      <c r="B972" s="1"/>
    </row>
    <row r="973" spans="1:2" ht="15.75" customHeight="1">
      <c r="A973" s="1"/>
      <c r="B973" s="1"/>
    </row>
    <row r="974" spans="1:2" ht="15.75" customHeight="1">
      <c r="A974" s="1"/>
      <c r="B974" s="1"/>
    </row>
    <row r="975" spans="1:2" ht="15.75" customHeight="1">
      <c r="A975" s="1"/>
      <c r="B975" s="1"/>
    </row>
    <row r="976" spans="1:2" ht="15.75" customHeight="1">
      <c r="A976" s="1"/>
      <c r="B976" s="1"/>
    </row>
    <row r="977" spans="1:2" ht="15.75" customHeight="1">
      <c r="A977" s="1"/>
      <c r="B977" s="1"/>
    </row>
    <row r="978" spans="1:2" ht="15.75" customHeight="1">
      <c r="A978" s="1"/>
      <c r="B978" s="1"/>
    </row>
    <row r="979" spans="1:2" ht="15.75" customHeight="1">
      <c r="A979" s="1"/>
      <c r="B979" s="1"/>
    </row>
    <row r="980" spans="1:2" ht="15.75" customHeight="1">
      <c r="A980" s="1"/>
      <c r="B980" s="1"/>
    </row>
    <row r="981" spans="1:2" ht="15.75" customHeight="1">
      <c r="A981" s="1"/>
      <c r="B981" s="1"/>
    </row>
    <row r="982" spans="1:2" ht="15.75" customHeight="1">
      <c r="A982" s="1"/>
      <c r="B982" s="1"/>
    </row>
    <row r="983" spans="1:2" ht="15.75" customHeight="1">
      <c r="A983" s="1"/>
      <c r="B983" s="1"/>
    </row>
    <row r="984" spans="1:2" ht="15.75" customHeight="1">
      <c r="A984" s="1"/>
      <c r="B984" s="1"/>
    </row>
    <row r="985" spans="1:2" ht="15.75" customHeight="1">
      <c r="A985" s="1"/>
      <c r="B985" s="1"/>
    </row>
    <row r="986" spans="1:2" ht="15.75" customHeight="1">
      <c r="A986" s="1"/>
      <c r="B986" s="1"/>
    </row>
    <row r="987" spans="1:2" ht="15.75" customHeight="1">
      <c r="A987" s="1"/>
      <c r="B987" s="1"/>
    </row>
    <row r="988" spans="1:2" ht="15.75" customHeight="1">
      <c r="A988" s="1"/>
      <c r="B988" s="1"/>
    </row>
    <row r="989" spans="1:2" ht="15.75" customHeight="1">
      <c r="A989" s="1"/>
      <c r="B989" s="1"/>
    </row>
    <row r="990" spans="1:2" ht="15.75" customHeight="1">
      <c r="A990" s="1"/>
      <c r="B990" s="1"/>
    </row>
    <row r="991" spans="1:2" ht="15.75" customHeight="1">
      <c r="A991" s="1"/>
      <c r="B991" s="1"/>
    </row>
    <row r="992" spans="1:2" ht="15.75" customHeight="1">
      <c r="A992" s="1"/>
      <c r="B992" s="1"/>
    </row>
    <row r="993" spans="1:2" ht="15.75" customHeight="1">
      <c r="A993" s="1"/>
      <c r="B993" s="1"/>
    </row>
    <row r="994" spans="1:2" ht="15.75" customHeight="1">
      <c r="A994" s="1"/>
      <c r="B994" s="1"/>
    </row>
    <row r="995" spans="1:2" ht="15.75" customHeight="1">
      <c r="A995" s="1"/>
      <c r="B995" s="1"/>
    </row>
    <row r="996" spans="1:2" ht="15.75" customHeight="1">
      <c r="A996" s="1"/>
      <c r="B996" s="1"/>
    </row>
    <row r="997" spans="1:2" ht="15.75" customHeight="1">
      <c r="A997" s="1"/>
      <c r="B997" s="1"/>
    </row>
    <row r="998" spans="1:2" ht="15.75" customHeight="1">
      <c r="A998" s="1"/>
      <c r="B998" s="1"/>
    </row>
    <row r="999" spans="1:2" ht="15.75" customHeight="1">
      <c r="A999" s="1"/>
      <c r="B999" s="1"/>
    </row>
    <row r="1000" spans="1:2" ht="15.75" customHeight="1">
      <c r="A1000" s="1"/>
      <c r="B1000" s="1"/>
    </row>
    <row r="1001" spans="1:2" ht="15.75" customHeight="1">
      <c r="A1001" s="1"/>
      <c r="B1001" s="1"/>
    </row>
  </sheetData>
  <mergeCells count="5">
    <mergeCell ref="A3:B3"/>
    <mergeCell ref="A6:B6"/>
    <mergeCell ref="A8:B8"/>
    <mergeCell ref="A26:B26"/>
    <mergeCell ref="A27:B27"/>
  </mergeCell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U1000"/>
  <sheetViews>
    <sheetView showGridLines="0" workbookViewId="0">
      <selection sqref="A1:I301"/>
    </sheetView>
  </sheetViews>
  <sheetFormatPr baseColWidth="10" defaultColWidth="12.5" defaultRowHeight="15" customHeight="1"/>
  <cols>
    <col min="4" max="4" width="17.33203125" customWidth="1"/>
    <col min="5" max="5" width="16.6640625" customWidth="1"/>
    <col min="6" max="6" width="29.6640625" customWidth="1"/>
    <col min="7" max="7" width="19.33203125" customWidth="1"/>
    <col min="8" max="8" width="28.6640625" customWidth="1"/>
    <col min="9" max="9" width="22.6640625" customWidth="1"/>
    <col min="11" max="11" width="31.1640625" bestFit="1" customWidth="1"/>
    <col min="12" max="12" width="47.6640625" customWidth="1"/>
    <col min="13" max="13" width="31.33203125" customWidth="1"/>
    <col min="14" max="14" width="30" customWidth="1"/>
    <col min="15" max="15" width="36.83203125" customWidth="1"/>
    <col min="16" max="16" width="38.6640625" customWidth="1"/>
    <col min="17" max="18" width="39.5" customWidth="1"/>
    <col min="19" max="19" width="33.6640625" bestFit="1" customWidth="1"/>
    <col min="20" max="20" width="35.83203125" bestFit="1" customWidth="1"/>
  </cols>
  <sheetData>
    <row r="1" spans="1:21" ht="15.75" customHeight="1">
      <c r="A1" s="44" t="s">
        <v>22</v>
      </c>
      <c r="B1" s="44" t="s">
        <v>23</v>
      </c>
      <c r="C1" s="44" t="s">
        <v>24</v>
      </c>
      <c r="D1" s="44" t="s">
        <v>25</v>
      </c>
      <c r="E1" s="44" t="s">
        <v>26</v>
      </c>
      <c r="F1" s="44" t="s">
        <v>27</v>
      </c>
      <c r="G1" s="44" t="s">
        <v>28</v>
      </c>
      <c r="H1" s="44" t="s">
        <v>29</v>
      </c>
      <c r="I1" s="45" t="s">
        <v>30</v>
      </c>
      <c r="J1" s="43"/>
      <c r="K1" s="1"/>
      <c r="L1" s="1"/>
      <c r="M1" s="1"/>
      <c r="N1" s="1"/>
      <c r="O1" s="1"/>
      <c r="P1" s="1"/>
      <c r="Q1" s="1"/>
      <c r="R1" s="1"/>
      <c r="S1" s="1"/>
      <c r="T1" s="1"/>
      <c r="U1" s="1"/>
    </row>
    <row r="2" spans="1:21" ht="15.75" customHeight="1">
      <c r="A2" s="46">
        <v>1</v>
      </c>
      <c r="B2" s="46">
        <v>24445</v>
      </c>
      <c r="C2" s="47" t="s">
        <v>31</v>
      </c>
      <c r="D2" s="48">
        <v>45032</v>
      </c>
      <c r="E2" s="48">
        <v>45037</v>
      </c>
      <c r="F2" s="47"/>
      <c r="G2" s="48">
        <v>45052</v>
      </c>
      <c r="H2" s="48">
        <v>45056</v>
      </c>
      <c r="I2" s="49">
        <f>IF(ISBLANK(F2),0,1)</f>
        <v>0</v>
      </c>
      <c r="J2" s="26"/>
      <c r="K2" s="26"/>
      <c r="L2" s="26"/>
      <c r="M2" s="26"/>
      <c r="N2" s="26"/>
      <c r="O2" s="26"/>
      <c r="P2" s="26"/>
      <c r="Q2" s="26"/>
      <c r="R2" s="26"/>
      <c r="S2" s="26"/>
      <c r="T2" s="26"/>
      <c r="U2" s="26"/>
    </row>
    <row r="3" spans="1:21" ht="15.75" customHeight="1">
      <c r="A3" s="50">
        <v>2</v>
      </c>
      <c r="B3" s="50">
        <v>28166</v>
      </c>
      <c r="C3" s="51" t="s">
        <v>31</v>
      </c>
      <c r="D3" s="52">
        <v>44971</v>
      </c>
      <c r="E3" s="52">
        <v>44972</v>
      </c>
      <c r="F3" s="52">
        <v>44981</v>
      </c>
      <c r="G3" s="51"/>
      <c r="H3" s="51"/>
      <c r="I3" s="53">
        <f t="shared" ref="I3:I11" si="0">IF(ISBLANK(F3),0,1)</f>
        <v>1</v>
      </c>
      <c r="J3" s="1"/>
      <c r="K3" s="1"/>
      <c r="L3" s="59"/>
      <c r="M3" s="59"/>
      <c r="N3" s="60"/>
      <c r="O3" s="60"/>
      <c r="P3" s="59"/>
      <c r="Q3" s="61"/>
      <c r="R3" s="64"/>
      <c r="S3" s="1"/>
      <c r="T3" s="1"/>
      <c r="U3" s="1"/>
    </row>
    <row r="4" spans="1:21" ht="15.75" customHeight="1">
      <c r="A4" s="46">
        <v>3</v>
      </c>
      <c r="B4" s="46">
        <v>13851</v>
      </c>
      <c r="C4" s="47" t="s">
        <v>32</v>
      </c>
      <c r="D4" s="48">
        <v>44932</v>
      </c>
      <c r="E4" s="48">
        <v>44936</v>
      </c>
      <c r="F4" s="48">
        <v>44941</v>
      </c>
      <c r="G4" s="48">
        <v>44949</v>
      </c>
      <c r="H4" s="48">
        <v>44951</v>
      </c>
      <c r="I4" s="54">
        <f t="shared" si="0"/>
        <v>1</v>
      </c>
      <c r="J4" s="1"/>
      <c r="K4" s="1"/>
      <c r="L4" s="1"/>
      <c r="M4" s="1"/>
      <c r="N4" s="1"/>
      <c r="O4" s="1"/>
      <c r="P4" s="1"/>
      <c r="Q4" s="1"/>
      <c r="R4" s="1"/>
      <c r="S4" s="1"/>
      <c r="T4" s="1"/>
      <c r="U4" s="1"/>
    </row>
    <row r="5" spans="1:21" ht="15.75" customHeight="1">
      <c r="A5" s="50">
        <v>4</v>
      </c>
      <c r="B5" s="50">
        <v>24108</v>
      </c>
      <c r="C5" s="51" t="s">
        <v>33</v>
      </c>
      <c r="D5" s="52">
        <v>44999</v>
      </c>
      <c r="E5" s="52">
        <v>44999</v>
      </c>
      <c r="F5" s="51"/>
      <c r="G5" s="52">
        <v>45009</v>
      </c>
      <c r="H5" s="52">
        <v>45015</v>
      </c>
      <c r="I5" s="53">
        <f t="shared" si="0"/>
        <v>0</v>
      </c>
      <c r="J5" s="1"/>
      <c r="K5" s="1"/>
      <c r="L5" s="1"/>
      <c r="M5" s="1"/>
      <c r="N5" s="1"/>
      <c r="O5" s="1"/>
      <c r="P5" s="1"/>
      <c r="Q5" s="1"/>
      <c r="R5" s="1"/>
      <c r="S5" s="1"/>
      <c r="T5" s="1"/>
      <c r="U5" s="1"/>
    </row>
    <row r="6" spans="1:21" ht="15.75" customHeight="1">
      <c r="A6" s="46">
        <v>5</v>
      </c>
      <c r="B6" s="46">
        <v>13091</v>
      </c>
      <c r="C6" s="47" t="s">
        <v>31</v>
      </c>
      <c r="D6" s="48">
        <v>44997</v>
      </c>
      <c r="E6" s="48">
        <v>45003</v>
      </c>
      <c r="F6" s="48">
        <v>45019</v>
      </c>
      <c r="G6" s="47"/>
      <c r="H6" s="47"/>
      <c r="I6" s="54">
        <f t="shared" si="0"/>
        <v>1</v>
      </c>
      <c r="J6" s="1"/>
      <c r="K6" s="1"/>
      <c r="L6" s="1"/>
      <c r="M6" s="1"/>
      <c r="N6" s="1"/>
      <c r="O6" s="1"/>
      <c r="P6" s="1"/>
      <c r="Q6" s="1"/>
      <c r="R6" s="1"/>
      <c r="S6" s="1"/>
      <c r="T6" s="1"/>
      <c r="U6" s="1"/>
    </row>
    <row r="7" spans="1:21" ht="15.75" customHeight="1">
      <c r="A7" s="50">
        <v>6</v>
      </c>
      <c r="B7" s="50">
        <v>13422</v>
      </c>
      <c r="C7" s="51" t="s">
        <v>31</v>
      </c>
      <c r="D7" s="52">
        <v>44995</v>
      </c>
      <c r="E7" s="52">
        <v>45001</v>
      </c>
      <c r="F7" s="52">
        <v>45015</v>
      </c>
      <c r="G7" s="51"/>
      <c r="H7" s="51"/>
      <c r="I7" s="53">
        <f t="shared" si="0"/>
        <v>1</v>
      </c>
      <c r="J7" s="1"/>
      <c r="K7" s="1"/>
      <c r="L7" s="1"/>
      <c r="M7" s="1"/>
      <c r="N7" s="1"/>
      <c r="O7" s="1"/>
      <c r="P7" s="1"/>
      <c r="Q7" s="1"/>
      <c r="R7" s="1"/>
      <c r="S7" s="1"/>
      <c r="T7" s="1"/>
      <c r="U7" s="1"/>
    </row>
    <row r="8" spans="1:21" ht="15.75" customHeight="1">
      <c r="A8" s="46">
        <v>7</v>
      </c>
      <c r="B8" s="46">
        <v>20341</v>
      </c>
      <c r="C8" s="47" t="s">
        <v>32</v>
      </c>
      <c r="D8" s="48">
        <v>45074</v>
      </c>
      <c r="E8" s="48">
        <v>45077</v>
      </c>
      <c r="F8" s="48">
        <v>45093</v>
      </c>
      <c r="G8" s="47"/>
      <c r="H8" s="47"/>
      <c r="I8" s="54">
        <f t="shared" si="0"/>
        <v>1</v>
      </c>
      <c r="J8" s="1"/>
      <c r="K8" s="1"/>
      <c r="L8" s="1"/>
      <c r="M8" s="1"/>
      <c r="N8" s="1"/>
      <c r="O8" s="1"/>
      <c r="P8" s="1"/>
      <c r="Q8" s="1"/>
      <c r="R8" s="1"/>
      <c r="S8" s="1"/>
      <c r="T8" s="1"/>
      <c r="U8" s="1"/>
    </row>
    <row r="9" spans="1:21" ht="15.75" customHeight="1">
      <c r="A9" s="50">
        <v>8</v>
      </c>
      <c r="B9" s="50">
        <v>18925</v>
      </c>
      <c r="C9" s="51" t="s">
        <v>33</v>
      </c>
      <c r="D9" s="52">
        <v>45056</v>
      </c>
      <c r="E9" s="52">
        <v>45056</v>
      </c>
      <c r="F9" s="51"/>
      <c r="G9" s="52">
        <v>45077</v>
      </c>
      <c r="H9" s="52">
        <v>45084</v>
      </c>
      <c r="I9" s="53">
        <f t="shared" si="0"/>
        <v>0</v>
      </c>
      <c r="J9" s="1"/>
      <c r="K9" s="62" t="s">
        <v>34</v>
      </c>
      <c r="L9" s="62" t="s">
        <v>35</v>
      </c>
      <c r="M9" s="62" t="s">
        <v>36</v>
      </c>
      <c r="N9" s="62" t="s">
        <v>37</v>
      </c>
      <c r="O9" s="62" t="s">
        <v>38</v>
      </c>
      <c r="P9" s="62" t="s">
        <v>39</v>
      </c>
      <c r="Q9" s="62" t="s">
        <v>40</v>
      </c>
      <c r="R9" s="62" t="s">
        <v>41</v>
      </c>
      <c r="S9" s="62" t="s">
        <v>42</v>
      </c>
      <c r="T9" s="62" t="s">
        <v>43</v>
      </c>
      <c r="U9" s="1"/>
    </row>
    <row r="10" spans="1:21" ht="15.75" customHeight="1">
      <c r="A10" s="46">
        <v>9</v>
      </c>
      <c r="B10" s="46">
        <v>11715</v>
      </c>
      <c r="C10" s="47" t="s">
        <v>32</v>
      </c>
      <c r="D10" s="48">
        <v>44945</v>
      </c>
      <c r="E10" s="48">
        <v>44947</v>
      </c>
      <c r="F10" s="48">
        <v>44970</v>
      </c>
      <c r="G10" s="47"/>
      <c r="H10" s="47"/>
      <c r="I10" s="54">
        <f t="shared" si="0"/>
        <v>1</v>
      </c>
      <c r="J10" s="1"/>
      <c r="K10" s="1" t="s">
        <v>32</v>
      </c>
      <c r="L10" s="1">
        <v>79</v>
      </c>
      <c r="M10" s="1">
        <v>71</v>
      </c>
      <c r="N10" s="63">
        <v>0.89870000000000005</v>
      </c>
      <c r="O10">
        <v>11</v>
      </c>
      <c r="P10" s="1">
        <v>11</v>
      </c>
      <c r="Q10" s="63">
        <v>0.14000000000000001</v>
      </c>
      <c r="R10" s="65">
        <v>7</v>
      </c>
      <c r="S10" s="63">
        <v>0.64</v>
      </c>
      <c r="T10" s="63">
        <v>0.36</v>
      </c>
      <c r="U10" s="1"/>
    </row>
    <row r="11" spans="1:21" ht="15.75" customHeight="1">
      <c r="A11" s="50">
        <v>10</v>
      </c>
      <c r="B11" s="50">
        <v>16677</v>
      </c>
      <c r="C11" s="51" t="s">
        <v>32</v>
      </c>
      <c r="D11" s="52">
        <v>44929</v>
      </c>
      <c r="E11" s="52">
        <v>44931</v>
      </c>
      <c r="F11" s="52">
        <v>44945</v>
      </c>
      <c r="G11" s="51"/>
      <c r="H11" s="51"/>
      <c r="I11" s="53">
        <f t="shared" si="0"/>
        <v>1</v>
      </c>
      <c r="J11" s="1"/>
      <c r="K11" s="1" t="s">
        <v>44</v>
      </c>
      <c r="L11" s="1">
        <v>65</v>
      </c>
      <c r="M11" s="1">
        <v>60</v>
      </c>
      <c r="N11" s="63">
        <v>0.92310000000000003</v>
      </c>
      <c r="O11" s="1">
        <v>13</v>
      </c>
      <c r="P11" s="1">
        <v>14</v>
      </c>
      <c r="Q11" s="63">
        <v>0.22</v>
      </c>
      <c r="R11" s="65">
        <v>14</v>
      </c>
      <c r="S11" s="63">
        <v>0.86</v>
      </c>
      <c r="T11" s="63">
        <v>0.14000000000000001</v>
      </c>
      <c r="U11" s="1"/>
    </row>
    <row r="12" spans="1:21" ht="15.75" customHeight="1">
      <c r="A12" s="46">
        <v>11</v>
      </c>
      <c r="B12" s="46">
        <v>14020</v>
      </c>
      <c r="C12" s="47" t="s">
        <v>45</v>
      </c>
      <c r="D12" s="48">
        <v>44950</v>
      </c>
      <c r="E12" s="48">
        <v>44954</v>
      </c>
      <c r="F12" s="48">
        <v>44972</v>
      </c>
      <c r="G12" s="48">
        <v>44982</v>
      </c>
      <c r="H12" s="48">
        <v>44986</v>
      </c>
      <c r="I12" s="54">
        <f t="shared" ref="I12:I75" si="1">IF(ISBLANK(F12),0,1)</f>
        <v>1</v>
      </c>
      <c r="J12" s="1"/>
      <c r="K12" s="1" t="s">
        <v>46</v>
      </c>
      <c r="L12" s="1">
        <v>64</v>
      </c>
      <c r="M12" s="1">
        <v>55</v>
      </c>
      <c r="N12" s="63">
        <v>0.85940000000000005</v>
      </c>
      <c r="O12" s="1">
        <v>10</v>
      </c>
      <c r="P12" s="1">
        <v>10</v>
      </c>
      <c r="Q12" s="63">
        <v>0.16</v>
      </c>
      <c r="R12" s="1">
        <v>8</v>
      </c>
      <c r="S12" s="63">
        <v>0.8</v>
      </c>
      <c r="T12" s="63">
        <v>0.2</v>
      </c>
      <c r="U12" s="1"/>
    </row>
    <row r="13" spans="1:21" ht="15.75" customHeight="1">
      <c r="A13" s="50">
        <v>12</v>
      </c>
      <c r="B13" s="50">
        <v>29818</v>
      </c>
      <c r="C13" s="51" t="s">
        <v>33</v>
      </c>
      <c r="D13" s="52">
        <v>45027</v>
      </c>
      <c r="E13" s="52">
        <v>45027</v>
      </c>
      <c r="F13" s="52">
        <v>45035</v>
      </c>
      <c r="G13" s="51"/>
      <c r="H13" s="51"/>
      <c r="I13" s="53">
        <f t="shared" si="1"/>
        <v>1</v>
      </c>
      <c r="J13" s="1"/>
      <c r="K13" s="1" t="s">
        <v>47</v>
      </c>
      <c r="L13" s="1">
        <v>41</v>
      </c>
      <c r="M13" s="1">
        <v>30</v>
      </c>
      <c r="N13" s="63">
        <v>0.73170000000000002</v>
      </c>
      <c r="O13" s="1">
        <v>12</v>
      </c>
      <c r="P13" s="1">
        <v>10</v>
      </c>
      <c r="Q13" s="63">
        <v>0.24</v>
      </c>
      <c r="R13" s="1">
        <v>3</v>
      </c>
      <c r="S13" s="63">
        <v>0.3</v>
      </c>
      <c r="T13" s="63">
        <v>0.7</v>
      </c>
      <c r="U13" s="1"/>
    </row>
    <row r="14" spans="1:21" ht="15.75" customHeight="1">
      <c r="A14" s="46">
        <v>13</v>
      </c>
      <c r="B14" s="46">
        <v>26981</v>
      </c>
      <c r="C14" s="47" t="s">
        <v>33</v>
      </c>
      <c r="D14" s="48">
        <v>44975</v>
      </c>
      <c r="E14" s="48">
        <v>44975</v>
      </c>
      <c r="F14" s="48">
        <v>44982</v>
      </c>
      <c r="G14" s="47"/>
      <c r="H14" s="47"/>
      <c r="I14" s="54">
        <f t="shared" si="1"/>
        <v>1</v>
      </c>
      <c r="J14" s="1"/>
      <c r="K14" s="1" t="s">
        <v>48</v>
      </c>
      <c r="L14" s="1">
        <v>51</v>
      </c>
      <c r="M14" s="1">
        <v>43</v>
      </c>
      <c r="N14" s="63">
        <v>0.84309999999999996</v>
      </c>
      <c r="O14" s="1">
        <v>14</v>
      </c>
      <c r="P14" s="1">
        <v>11</v>
      </c>
      <c r="Q14" s="63">
        <v>0.22</v>
      </c>
      <c r="R14" s="1">
        <v>8</v>
      </c>
      <c r="S14" s="63">
        <v>0.73</v>
      </c>
      <c r="T14" s="63">
        <v>0.27</v>
      </c>
      <c r="U14" s="1"/>
    </row>
    <row r="15" spans="1:21" ht="15.75" customHeight="1">
      <c r="A15" s="50">
        <v>14</v>
      </c>
      <c r="B15" s="50">
        <v>21200</v>
      </c>
      <c r="C15" s="51" t="s">
        <v>49</v>
      </c>
      <c r="D15" s="52">
        <v>45038</v>
      </c>
      <c r="E15" s="52">
        <v>45039</v>
      </c>
      <c r="F15" s="51"/>
      <c r="G15" s="52">
        <v>45054</v>
      </c>
      <c r="H15" s="52">
        <v>45060</v>
      </c>
      <c r="I15" s="53">
        <f t="shared" si="1"/>
        <v>0</v>
      </c>
      <c r="J15" s="1"/>
      <c r="K15" s="1"/>
      <c r="L15" s="1"/>
      <c r="M15" s="1"/>
      <c r="N15" s="1"/>
      <c r="O15" s="1"/>
      <c r="P15" s="1"/>
      <c r="Q15" s="1"/>
      <c r="R15" s="1"/>
      <c r="S15" s="1"/>
      <c r="T15" s="1"/>
      <c r="U15" s="1"/>
    </row>
    <row r="16" spans="1:21" ht="15.75" customHeight="1">
      <c r="A16" s="46">
        <v>15</v>
      </c>
      <c r="B16" s="46">
        <v>16967</v>
      </c>
      <c r="C16" s="47" t="s">
        <v>33</v>
      </c>
      <c r="D16" s="48">
        <v>45019</v>
      </c>
      <c r="E16" s="48">
        <v>45019</v>
      </c>
      <c r="F16" s="48">
        <v>45027</v>
      </c>
      <c r="G16" s="47"/>
      <c r="H16" s="47"/>
      <c r="I16" s="54">
        <f t="shared" si="1"/>
        <v>1</v>
      </c>
      <c r="J16" s="1"/>
      <c r="K16" s="1"/>
      <c r="L16" s="1"/>
      <c r="M16" s="1"/>
      <c r="N16" s="1"/>
      <c r="O16" s="1"/>
      <c r="P16" s="1"/>
      <c r="Q16" s="1"/>
      <c r="R16" s="1"/>
      <c r="S16" s="1"/>
      <c r="T16" s="1"/>
      <c r="U16" s="1"/>
    </row>
    <row r="17" spans="1:21" ht="15.75" customHeight="1">
      <c r="A17" s="50">
        <v>16</v>
      </c>
      <c r="B17" s="50">
        <v>21664</v>
      </c>
      <c r="C17" s="51" t="s">
        <v>45</v>
      </c>
      <c r="D17" s="52">
        <v>45010</v>
      </c>
      <c r="E17" s="52">
        <v>45010</v>
      </c>
      <c r="F17" s="52">
        <v>45020</v>
      </c>
      <c r="G17" s="52">
        <v>45031</v>
      </c>
      <c r="H17" s="52">
        <v>45035</v>
      </c>
      <c r="I17" s="53">
        <f t="shared" si="1"/>
        <v>1</v>
      </c>
      <c r="J17" s="1"/>
      <c r="K17" s="1"/>
      <c r="L17" s="1"/>
      <c r="M17" s="1"/>
      <c r="N17" s="1"/>
      <c r="O17" s="1"/>
      <c r="P17" s="1"/>
      <c r="Q17" s="1"/>
      <c r="R17" s="1"/>
      <c r="S17" s="1"/>
      <c r="T17" s="1"/>
      <c r="U17" s="1"/>
    </row>
    <row r="18" spans="1:21" ht="15.75" customHeight="1">
      <c r="A18" s="46">
        <v>17</v>
      </c>
      <c r="B18" s="46">
        <v>11317</v>
      </c>
      <c r="C18" s="47" t="s">
        <v>32</v>
      </c>
      <c r="D18" s="48">
        <v>44969</v>
      </c>
      <c r="E18" s="48">
        <v>44970</v>
      </c>
      <c r="F18" s="48">
        <v>44988</v>
      </c>
      <c r="G18" s="47"/>
      <c r="H18" s="47"/>
      <c r="I18" s="54">
        <f t="shared" si="1"/>
        <v>1</v>
      </c>
      <c r="J18" s="1"/>
      <c r="K18" s="1"/>
      <c r="L18" s="1"/>
      <c r="M18" s="1"/>
      <c r="N18" s="1"/>
      <c r="O18" s="1"/>
      <c r="P18" s="1"/>
      <c r="Q18" s="1"/>
      <c r="R18" s="1"/>
      <c r="S18" s="1"/>
      <c r="T18" s="1"/>
      <c r="U18" s="1"/>
    </row>
    <row r="19" spans="1:21" ht="15.75" customHeight="1">
      <c r="A19" s="50">
        <v>18</v>
      </c>
      <c r="B19" s="50">
        <v>28774</v>
      </c>
      <c r="C19" s="51" t="s">
        <v>32</v>
      </c>
      <c r="D19" s="52">
        <v>45058</v>
      </c>
      <c r="E19" s="52">
        <v>45063</v>
      </c>
      <c r="F19" s="52">
        <v>45063</v>
      </c>
      <c r="G19" s="51"/>
      <c r="H19" s="51"/>
      <c r="I19" s="53">
        <f t="shared" si="1"/>
        <v>1</v>
      </c>
      <c r="J19" s="1"/>
      <c r="K19" s="1"/>
      <c r="L19" s="1"/>
      <c r="M19" s="1"/>
      <c r="N19" s="1"/>
      <c r="O19" s="1"/>
      <c r="P19" s="1"/>
      <c r="Q19" s="1"/>
      <c r="R19" s="1"/>
      <c r="S19" s="1"/>
      <c r="T19" s="1"/>
      <c r="U19" s="1"/>
    </row>
    <row r="20" spans="1:21" ht="15.75" customHeight="1">
      <c r="A20" s="46">
        <v>19</v>
      </c>
      <c r="B20" s="46">
        <v>24379</v>
      </c>
      <c r="C20" s="47" t="s">
        <v>49</v>
      </c>
      <c r="D20" s="48">
        <v>45020</v>
      </c>
      <c r="E20" s="48">
        <v>45022</v>
      </c>
      <c r="F20" s="48">
        <v>45038</v>
      </c>
      <c r="G20" s="47"/>
      <c r="H20" s="47"/>
      <c r="I20" s="54">
        <f t="shared" si="1"/>
        <v>1</v>
      </c>
      <c r="J20" s="1"/>
      <c r="K20" s="1"/>
      <c r="L20" s="1"/>
      <c r="M20" s="1"/>
      <c r="N20" s="1"/>
      <c r="O20" s="1"/>
      <c r="P20" s="1"/>
      <c r="Q20" s="1"/>
      <c r="R20" s="1"/>
      <c r="S20" s="1"/>
      <c r="T20" s="1"/>
      <c r="U20" s="1"/>
    </row>
    <row r="21" spans="1:21" ht="15.75" customHeight="1">
      <c r="A21" s="50">
        <v>20</v>
      </c>
      <c r="B21" s="50">
        <v>12402</v>
      </c>
      <c r="C21" s="51" t="s">
        <v>49</v>
      </c>
      <c r="D21" s="52">
        <v>45025</v>
      </c>
      <c r="E21" s="52">
        <v>45031</v>
      </c>
      <c r="F21" s="51"/>
      <c r="G21" s="51"/>
      <c r="H21" s="51"/>
      <c r="I21" s="53">
        <f t="shared" si="1"/>
        <v>0</v>
      </c>
      <c r="J21" s="1"/>
      <c r="K21" s="1"/>
      <c r="L21" s="1"/>
      <c r="M21" s="1"/>
      <c r="N21" s="1"/>
      <c r="O21" s="1"/>
      <c r="P21" s="1"/>
      <c r="Q21" s="1"/>
      <c r="R21" s="1"/>
      <c r="S21" s="1"/>
      <c r="T21" s="1"/>
      <c r="U21" s="1"/>
    </row>
    <row r="22" spans="1:21" ht="15.75" customHeight="1">
      <c r="A22" s="46">
        <v>21</v>
      </c>
      <c r="B22" s="46">
        <v>16617</v>
      </c>
      <c r="C22" s="47" t="s">
        <v>32</v>
      </c>
      <c r="D22" s="48">
        <v>44939</v>
      </c>
      <c r="E22" s="48">
        <v>44940</v>
      </c>
      <c r="F22" s="48">
        <v>44947</v>
      </c>
      <c r="G22" s="47"/>
      <c r="H22" s="47"/>
      <c r="I22" s="54">
        <f t="shared" si="1"/>
        <v>1</v>
      </c>
      <c r="J22" s="1"/>
      <c r="K22" s="1"/>
      <c r="L22" s="1"/>
      <c r="M22" s="1"/>
      <c r="N22" s="1"/>
      <c r="O22" s="1"/>
      <c r="P22" s="1"/>
      <c r="Q22" s="1"/>
      <c r="R22" s="1"/>
      <c r="S22" s="1"/>
      <c r="T22" s="1"/>
      <c r="U22" s="1"/>
    </row>
    <row r="23" spans="1:21" ht="15.75" customHeight="1">
      <c r="A23" s="50">
        <v>22</v>
      </c>
      <c r="B23" s="50">
        <v>16902</v>
      </c>
      <c r="C23" s="51" t="s">
        <v>49</v>
      </c>
      <c r="D23" s="52">
        <v>45022</v>
      </c>
      <c r="E23" s="52">
        <v>45024</v>
      </c>
      <c r="F23" s="52">
        <v>45028</v>
      </c>
      <c r="G23" s="51"/>
      <c r="H23" s="51"/>
      <c r="I23" s="53">
        <f t="shared" si="1"/>
        <v>1</v>
      </c>
      <c r="J23" s="1"/>
      <c r="K23" s="1"/>
      <c r="L23" s="1"/>
      <c r="M23" s="1"/>
      <c r="N23" s="1"/>
      <c r="O23" s="1"/>
      <c r="P23" s="1"/>
      <c r="Q23" s="1"/>
      <c r="R23" s="1"/>
      <c r="S23" s="1"/>
      <c r="T23" s="1"/>
      <c r="U23" s="1"/>
    </row>
    <row r="24" spans="1:21" ht="15.75" customHeight="1">
      <c r="A24" s="46">
        <v>23</v>
      </c>
      <c r="B24" s="46">
        <v>19651</v>
      </c>
      <c r="C24" s="47" t="s">
        <v>49</v>
      </c>
      <c r="D24" s="48">
        <v>45063</v>
      </c>
      <c r="E24" s="48">
        <v>45063</v>
      </c>
      <c r="F24" s="48">
        <v>45080</v>
      </c>
      <c r="G24" s="47"/>
      <c r="H24" s="47"/>
      <c r="I24" s="54">
        <f t="shared" si="1"/>
        <v>1</v>
      </c>
      <c r="J24" s="1"/>
      <c r="K24" s="1"/>
      <c r="L24" s="1"/>
      <c r="M24" s="1"/>
      <c r="N24" s="1"/>
      <c r="O24" s="1"/>
      <c r="P24" s="1"/>
      <c r="Q24" s="1"/>
      <c r="R24" s="1"/>
      <c r="S24" s="1"/>
      <c r="T24" s="1"/>
      <c r="U24" s="1"/>
    </row>
    <row r="25" spans="1:21" ht="15.75" customHeight="1">
      <c r="A25" s="50">
        <v>24</v>
      </c>
      <c r="B25" s="50">
        <v>13108</v>
      </c>
      <c r="C25" s="51" t="s">
        <v>45</v>
      </c>
      <c r="D25" s="52">
        <v>44932</v>
      </c>
      <c r="E25" s="52">
        <v>44937</v>
      </c>
      <c r="F25" s="51"/>
      <c r="G25" s="52">
        <v>44965</v>
      </c>
      <c r="H25" s="52">
        <v>44969</v>
      </c>
      <c r="I25" s="53">
        <f t="shared" si="1"/>
        <v>0</v>
      </c>
      <c r="J25" s="1"/>
      <c r="K25" s="1"/>
      <c r="L25" s="1"/>
      <c r="M25" s="1"/>
      <c r="N25" s="1"/>
      <c r="O25" s="1"/>
      <c r="P25" s="1"/>
      <c r="Q25" s="1"/>
      <c r="R25" s="1"/>
      <c r="S25" s="1"/>
      <c r="T25" s="1"/>
      <c r="U25" s="1"/>
    </row>
    <row r="26" spans="1:21" ht="15.75" customHeight="1">
      <c r="A26" s="46">
        <v>25</v>
      </c>
      <c r="B26" s="46">
        <v>11502</v>
      </c>
      <c r="C26" s="47" t="s">
        <v>32</v>
      </c>
      <c r="D26" s="48">
        <v>45023</v>
      </c>
      <c r="E26" s="48">
        <v>45023</v>
      </c>
      <c r="F26" s="48">
        <v>45027</v>
      </c>
      <c r="G26" s="47"/>
      <c r="H26" s="47"/>
      <c r="I26" s="54">
        <f t="shared" si="1"/>
        <v>1</v>
      </c>
      <c r="J26" s="1"/>
      <c r="K26" s="1"/>
      <c r="L26" s="1"/>
      <c r="M26" s="1"/>
      <c r="N26" s="1"/>
      <c r="O26" s="1"/>
      <c r="P26" s="1"/>
      <c r="Q26" s="1"/>
      <c r="R26" s="1"/>
      <c r="S26" s="1"/>
      <c r="T26" s="1"/>
      <c r="U26" s="1"/>
    </row>
    <row r="27" spans="1:21" ht="15.75" customHeight="1">
      <c r="A27" s="50">
        <v>26</v>
      </c>
      <c r="B27" s="50">
        <v>15976</v>
      </c>
      <c r="C27" s="51" t="s">
        <v>32</v>
      </c>
      <c r="D27" s="52">
        <v>44931</v>
      </c>
      <c r="E27" s="52">
        <v>44934</v>
      </c>
      <c r="F27" s="52">
        <v>44955</v>
      </c>
      <c r="G27" s="51"/>
      <c r="H27" s="51"/>
      <c r="I27" s="53">
        <f t="shared" si="1"/>
        <v>1</v>
      </c>
      <c r="J27" s="1"/>
      <c r="K27" s="1"/>
      <c r="L27" s="1"/>
      <c r="M27" s="1"/>
      <c r="N27" s="1"/>
      <c r="O27" s="1"/>
      <c r="P27" s="1"/>
      <c r="Q27" s="1"/>
      <c r="R27" s="1"/>
      <c r="S27" s="1"/>
      <c r="T27" s="1"/>
      <c r="U27" s="1"/>
    </row>
    <row r="28" spans="1:21" ht="15.75" customHeight="1">
      <c r="A28" s="46">
        <v>27</v>
      </c>
      <c r="B28" s="46">
        <v>25502</v>
      </c>
      <c r="C28" s="47" t="s">
        <v>33</v>
      </c>
      <c r="D28" s="48">
        <v>44967</v>
      </c>
      <c r="E28" s="48">
        <v>44968</v>
      </c>
      <c r="F28" s="48">
        <v>44970</v>
      </c>
      <c r="G28" s="47"/>
      <c r="H28" s="47"/>
      <c r="I28" s="54">
        <f t="shared" si="1"/>
        <v>1</v>
      </c>
      <c r="J28" s="1"/>
      <c r="K28" s="1"/>
      <c r="L28" s="1"/>
      <c r="M28" s="1"/>
      <c r="N28" s="1"/>
      <c r="O28" s="1"/>
      <c r="P28" s="1"/>
      <c r="Q28" s="1"/>
      <c r="R28" s="1"/>
      <c r="S28" s="1"/>
      <c r="T28" s="1"/>
      <c r="U28" s="1"/>
    </row>
    <row r="29" spans="1:21" ht="15.75" customHeight="1">
      <c r="A29" s="50">
        <v>28</v>
      </c>
      <c r="B29" s="50">
        <v>22550</v>
      </c>
      <c r="C29" s="51" t="s">
        <v>32</v>
      </c>
      <c r="D29" s="52">
        <v>44986</v>
      </c>
      <c r="E29" s="52">
        <v>44990</v>
      </c>
      <c r="F29" s="52">
        <v>45004</v>
      </c>
      <c r="G29" s="51"/>
      <c r="H29" s="51"/>
      <c r="I29" s="53">
        <f t="shared" si="1"/>
        <v>1</v>
      </c>
      <c r="J29" s="1"/>
      <c r="K29" s="1"/>
      <c r="L29" s="1"/>
      <c r="M29" s="1"/>
      <c r="N29" s="1"/>
      <c r="O29" s="1"/>
      <c r="P29" s="1"/>
      <c r="Q29" s="1"/>
      <c r="R29" s="1"/>
      <c r="S29" s="1"/>
      <c r="T29" s="1"/>
      <c r="U29" s="1"/>
    </row>
    <row r="30" spans="1:21" ht="15.75" customHeight="1">
      <c r="A30" s="46">
        <v>29</v>
      </c>
      <c r="B30" s="46">
        <v>16944</v>
      </c>
      <c r="C30" s="47" t="s">
        <v>45</v>
      </c>
      <c r="D30" s="48">
        <v>45042</v>
      </c>
      <c r="E30" s="48">
        <v>45042</v>
      </c>
      <c r="F30" s="48">
        <v>45053</v>
      </c>
      <c r="G30" s="47"/>
      <c r="H30" s="47"/>
      <c r="I30" s="54">
        <f t="shared" si="1"/>
        <v>1</v>
      </c>
      <c r="J30" s="1"/>
      <c r="K30" s="1"/>
      <c r="L30" s="1"/>
      <c r="M30" s="1"/>
      <c r="N30" s="1"/>
      <c r="O30" s="1"/>
      <c r="P30" s="1"/>
      <c r="Q30" s="1"/>
      <c r="R30" s="1"/>
      <c r="S30" s="1"/>
      <c r="T30" s="1"/>
      <c r="U30" s="1"/>
    </row>
    <row r="31" spans="1:21" ht="15.75" customHeight="1">
      <c r="A31" s="50">
        <v>30</v>
      </c>
      <c r="B31" s="50">
        <v>18794</v>
      </c>
      <c r="C31" s="51" t="s">
        <v>32</v>
      </c>
      <c r="D31" s="52">
        <v>45026</v>
      </c>
      <c r="E31" s="52">
        <v>45027</v>
      </c>
      <c r="F31" s="52">
        <v>45048</v>
      </c>
      <c r="G31" s="51"/>
      <c r="H31" s="51"/>
      <c r="I31" s="53">
        <f t="shared" si="1"/>
        <v>1</v>
      </c>
      <c r="J31" s="1"/>
      <c r="K31" s="1"/>
      <c r="L31" s="1"/>
      <c r="M31" s="1"/>
      <c r="N31" s="1"/>
      <c r="O31" s="1"/>
      <c r="P31" s="1"/>
      <c r="Q31" s="1"/>
      <c r="R31" s="1"/>
      <c r="S31" s="1"/>
      <c r="T31" s="1"/>
      <c r="U31" s="1"/>
    </row>
    <row r="32" spans="1:21" ht="15.75" customHeight="1">
      <c r="A32" s="46">
        <v>31</v>
      </c>
      <c r="B32" s="46">
        <v>17978</v>
      </c>
      <c r="C32" s="47" t="s">
        <v>32</v>
      </c>
      <c r="D32" s="48">
        <v>44937</v>
      </c>
      <c r="E32" s="48">
        <v>44943</v>
      </c>
      <c r="F32" s="48">
        <v>44943</v>
      </c>
      <c r="G32" s="47"/>
      <c r="H32" s="47"/>
      <c r="I32" s="54">
        <f t="shared" si="1"/>
        <v>1</v>
      </c>
      <c r="J32" s="1"/>
      <c r="K32" s="1"/>
      <c r="L32" s="1"/>
      <c r="M32" s="1"/>
      <c r="N32" s="1"/>
      <c r="O32" s="1"/>
      <c r="P32" s="1"/>
      <c r="Q32" s="1"/>
      <c r="R32" s="1"/>
      <c r="S32" s="1"/>
      <c r="T32" s="1"/>
      <c r="U32" s="1"/>
    </row>
    <row r="33" spans="1:21" ht="15.75" customHeight="1">
      <c r="A33" s="50">
        <v>32</v>
      </c>
      <c r="B33" s="50">
        <v>14926</v>
      </c>
      <c r="C33" s="51" t="s">
        <v>33</v>
      </c>
      <c r="D33" s="52">
        <v>44943</v>
      </c>
      <c r="E33" s="52">
        <v>44947</v>
      </c>
      <c r="F33" s="52">
        <v>44971</v>
      </c>
      <c r="G33" s="51"/>
      <c r="H33" s="51"/>
      <c r="I33" s="53">
        <f t="shared" si="1"/>
        <v>1</v>
      </c>
      <c r="J33" s="1"/>
      <c r="K33" s="1"/>
      <c r="L33" s="1"/>
      <c r="M33" s="1"/>
      <c r="N33" s="1"/>
      <c r="O33" s="1"/>
      <c r="P33" s="1"/>
      <c r="Q33" s="1"/>
      <c r="R33" s="1"/>
      <c r="S33" s="1"/>
      <c r="T33" s="1"/>
      <c r="U33" s="1"/>
    </row>
    <row r="34" spans="1:21" ht="15.75" customHeight="1">
      <c r="A34" s="46">
        <v>33</v>
      </c>
      <c r="B34" s="46">
        <v>28521</v>
      </c>
      <c r="C34" s="47" t="s">
        <v>32</v>
      </c>
      <c r="D34" s="48">
        <v>45070</v>
      </c>
      <c r="E34" s="48">
        <v>45075</v>
      </c>
      <c r="F34" s="47"/>
      <c r="G34" s="48">
        <v>45105</v>
      </c>
      <c r="H34" s="48">
        <v>45111</v>
      </c>
      <c r="I34" s="54">
        <f t="shared" si="1"/>
        <v>0</v>
      </c>
      <c r="J34" s="1"/>
      <c r="K34" s="1"/>
      <c r="L34" s="1"/>
      <c r="M34" s="1"/>
      <c r="N34" s="1"/>
      <c r="O34" s="1"/>
      <c r="P34" s="1"/>
      <c r="Q34" s="1"/>
      <c r="R34" s="1"/>
      <c r="S34" s="1"/>
      <c r="T34" s="1"/>
      <c r="U34" s="1"/>
    </row>
    <row r="35" spans="1:21" ht="15.75" customHeight="1">
      <c r="A35" s="50">
        <v>34</v>
      </c>
      <c r="B35" s="50">
        <v>27273</v>
      </c>
      <c r="C35" s="51" t="s">
        <v>45</v>
      </c>
      <c r="D35" s="52">
        <v>45024</v>
      </c>
      <c r="E35" s="52">
        <v>45025</v>
      </c>
      <c r="F35" s="52">
        <v>45038</v>
      </c>
      <c r="G35" s="51"/>
      <c r="H35" s="51"/>
      <c r="I35" s="53">
        <f t="shared" si="1"/>
        <v>1</v>
      </c>
      <c r="J35" s="1"/>
      <c r="K35" s="1"/>
      <c r="L35" s="1"/>
      <c r="M35" s="1"/>
      <c r="N35" s="1"/>
      <c r="O35" s="1"/>
      <c r="P35" s="1"/>
      <c r="Q35" s="1"/>
      <c r="R35" s="1"/>
      <c r="S35" s="1"/>
      <c r="T35" s="1"/>
      <c r="U35" s="1"/>
    </row>
    <row r="36" spans="1:21" ht="15.75" customHeight="1">
      <c r="A36" s="46">
        <v>35</v>
      </c>
      <c r="B36" s="46">
        <v>17448</v>
      </c>
      <c r="C36" s="47" t="s">
        <v>49</v>
      </c>
      <c r="D36" s="48">
        <v>45051</v>
      </c>
      <c r="E36" s="48">
        <v>45053</v>
      </c>
      <c r="F36" s="48">
        <v>45055</v>
      </c>
      <c r="G36" s="47"/>
      <c r="H36" s="47"/>
      <c r="I36" s="54">
        <f t="shared" si="1"/>
        <v>1</v>
      </c>
      <c r="J36" s="1"/>
      <c r="K36" s="1"/>
      <c r="L36" s="1"/>
      <c r="M36" s="1"/>
      <c r="N36" s="1"/>
      <c r="O36" s="1"/>
      <c r="P36" s="1"/>
      <c r="Q36" s="1"/>
      <c r="R36" s="1"/>
      <c r="S36" s="1"/>
      <c r="T36" s="1"/>
      <c r="U36" s="1"/>
    </row>
    <row r="37" spans="1:21" ht="15.75" customHeight="1">
      <c r="A37" s="50">
        <v>36</v>
      </c>
      <c r="B37" s="50">
        <v>19842</v>
      </c>
      <c r="C37" s="51" t="s">
        <v>49</v>
      </c>
      <c r="D37" s="52">
        <v>44936</v>
      </c>
      <c r="E37" s="52">
        <v>44937</v>
      </c>
      <c r="F37" s="51"/>
      <c r="G37" s="51"/>
      <c r="H37" s="51"/>
      <c r="I37" s="53">
        <f t="shared" si="1"/>
        <v>0</v>
      </c>
      <c r="J37" s="1"/>
      <c r="K37" s="1"/>
      <c r="L37" s="1"/>
      <c r="M37" s="1"/>
      <c r="N37" s="1"/>
      <c r="O37" s="1"/>
      <c r="P37" s="1"/>
      <c r="Q37" s="1"/>
      <c r="R37" s="1"/>
      <c r="S37" s="1"/>
      <c r="T37" s="1"/>
      <c r="U37" s="1"/>
    </row>
    <row r="38" spans="1:21" ht="15.75" customHeight="1">
      <c r="A38" s="46">
        <v>37</v>
      </c>
      <c r="B38" s="46">
        <v>12945</v>
      </c>
      <c r="C38" s="47" t="s">
        <v>33</v>
      </c>
      <c r="D38" s="48">
        <v>45057</v>
      </c>
      <c r="E38" s="48">
        <v>45059</v>
      </c>
      <c r="F38" s="48">
        <v>45060</v>
      </c>
      <c r="G38" s="47"/>
      <c r="H38" s="47"/>
      <c r="I38" s="54">
        <f t="shared" si="1"/>
        <v>1</v>
      </c>
      <c r="J38" s="1"/>
      <c r="K38" s="1"/>
      <c r="L38" s="1"/>
      <c r="M38" s="1"/>
      <c r="N38" s="1"/>
      <c r="O38" s="1"/>
      <c r="P38" s="1"/>
      <c r="Q38" s="1"/>
      <c r="R38" s="1"/>
      <c r="S38" s="1"/>
      <c r="T38" s="1"/>
      <c r="U38" s="1"/>
    </row>
    <row r="39" spans="1:21" ht="15.75" customHeight="1">
      <c r="A39" s="50">
        <v>38</v>
      </c>
      <c r="B39" s="50">
        <v>16361</v>
      </c>
      <c r="C39" s="51" t="s">
        <v>33</v>
      </c>
      <c r="D39" s="52">
        <v>45000</v>
      </c>
      <c r="E39" s="52">
        <v>45003</v>
      </c>
      <c r="F39" s="52">
        <v>45009</v>
      </c>
      <c r="G39" s="51"/>
      <c r="H39" s="51"/>
      <c r="I39" s="53">
        <f t="shared" si="1"/>
        <v>1</v>
      </c>
      <c r="J39" s="1"/>
      <c r="K39" s="1"/>
      <c r="L39" s="1"/>
      <c r="M39" s="1"/>
      <c r="N39" s="1"/>
      <c r="O39" s="1"/>
      <c r="P39" s="1"/>
      <c r="Q39" s="1"/>
      <c r="R39" s="1"/>
      <c r="S39" s="1"/>
      <c r="T39" s="1"/>
      <c r="U39" s="1"/>
    </row>
    <row r="40" spans="1:21" ht="15.75" customHeight="1">
      <c r="A40" s="46">
        <v>39</v>
      </c>
      <c r="B40" s="46">
        <v>19470</v>
      </c>
      <c r="C40" s="47" t="s">
        <v>49</v>
      </c>
      <c r="D40" s="48">
        <v>45060</v>
      </c>
      <c r="E40" s="48">
        <v>45064</v>
      </c>
      <c r="F40" s="48">
        <v>45074</v>
      </c>
      <c r="G40" s="47"/>
      <c r="H40" s="47"/>
      <c r="I40" s="54">
        <f t="shared" si="1"/>
        <v>1</v>
      </c>
      <c r="J40" s="1"/>
      <c r="K40" s="1"/>
      <c r="L40" s="1"/>
      <c r="M40" s="1"/>
      <c r="N40" s="1"/>
      <c r="O40" s="1"/>
      <c r="P40" s="1"/>
      <c r="Q40" s="1"/>
      <c r="R40" s="1"/>
      <c r="S40" s="1"/>
      <c r="T40" s="1"/>
      <c r="U40" s="1"/>
    </row>
    <row r="41" spans="1:21" ht="15.75" customHeight="1">
      <c r="A41" s="50">
        <v>40</v>
      </c>
      <c r="B41" s="50">
        <v>11452</v>
      </c>
      <c r="C41" s="51" t="s">
        <v>45</v>
      </c>
      <c r="D41" s="52">
        <v>44955</v>
      </c>
      <c r="E41" s="52">
        <v>44957</v>
      </c>
      <c r="F41" s="52">
        <v>44975</v>
      </c>
      <c r="G41" s="51"/>
      <c r="H41" s="51"/>
      <c r="I41" s="53">
        <f t="shared" si="1"/>
        <v>1</v>
      </c>
      <c r="J41" s="1"/>
      <c r="K41" s="1"/>
      <c r="L41" s="1"/>
      <c r="M41" s="1"/>
      <c r="N41" s="1"/>
      <c r="O41" s="1"/>
      <c r="P41" s="1"/>
      <c r="Q41" s="1"/>
      <c r="R41" s="1"/>
      <c r="S41" s="1"/>
      <c r="T41" s="1"/>
      <c r="U41" s="1"/>
    </row>
    <row r="42" spans="1:21" ht="15.75" customHeight="1">
      <c r="A42" s="46">
        <v>41</v>
      </c>
      <c r="B42" s="46">
        <v>12466</v>
      </c>
      <c r="C42" s="47" t="s">
        <v>49</v>
      </c>
      <c r="D42" s="48">
        <v>45060</v>
      </c>
      <c r="E42" s="48">
        <v>45063</v>
      </c>
      <c r="F42" s="48">
        <v>45076</v>
      </c>
      <c r="G42" s="47"/>
      <c r="H42" s="47"/>
      <c r="I42" s="54">
        <f t="shared" si="1"/>
        <v>1</v>
      </c>
      <c r="J42" s="1"/>
      <c r="K42" s="1"/>
      <c r="L42" s="1"/>
      <c r="M42" s="1"/>
      <c r="N42" s="1"/>
      <c r="O42" s="1"/>
      <c r="P42" s="1"/>
      <c r="Q42" s="1"/>
      <c r="R42" s="1"/>
      <c r="S42" s="1"/>
      <c r="T42" s="1"/>
      <c r="U42" s="1"/>
    </row>
    <row r="43" spans="1:21" ht="15.75" customHeight="1">
      <c r="A43" s="50">
        <v>42</v>
      </c>
      <c r="B43" s="50">
        <v>23402</v>
      </c>
      <c r="C43" s="51" t="s">
        <v>45</v>
      </c>
      <c r="D43" s="52">
        <v>45031</v>
      </c>
      <c r="E43" s="52">
        <v>45036</v>
      </c>
      <c r="F43" s="52">
        <v>45036</v>
      </c>
      <c r="G43" s="51"/>
      <c r="H43" s="51"/>
      <c r="I43" s="53">
        <f t="shared" si="1"/>
        <v>1</v>
      </c>
      <c r="J43" s="1"/>
      <c r="K43" s="1"/>
      <c r="L43" s="1"/>
      <c r="M43" s="1"/>
      <c r="N43" s="1"/>
      <c r="O43" s="1"/>
      <c r="P43" s="1"/>
      <c r="Q43" s="1"/>
      <c r="R43" s="1"/>
      <c r="S43" s="1"/>
      <c r="T43" s="1"/>
      <c r="U43" s="1"/>
    </row>
    <row r="44" spans="1:21" ht="15.75" customHeight="1">
      <c r="A44" s="46">
        <v>43</v>
      </c>
      <c r="B44" s="46">
        <v>13965</v>
      </c>
      <c r="C44" s="47" t="s">
        <v>45</v>
      </c>
      <c r="D44" s="48">
        <v>45015</v>
      </c>
      <c r="E44" s="48">
        <v>45017</v>
      </c>
      <c r="F44" s="48">
        <v>45018</v>
      </c>
      <c r="G44" s="47"/>
      <c r="H44" s="47"/>
      <c r="I44" s="54">
        <f t="shared" si="1"/>
        <v>1</v>
      </c>
      <c r="J44" s="1"/>
      <c r="K44" s="1"/>
      <c r="L44" s="1"/>
      <c r="M44" s="1"/>
      <c r="N44" s="1"/>
      <c r="O44" s="1"/>
      <c r="P44" s="1"/>
      <c r="Q44" s="1"/>
      <c r="R44" s="1"/>
      <c r="S44" s="1"/>
      <c r="T44" s="1"/>
      <c r="U44" s="1"/>
    </row>
    <row r="45" spans="1:21" ht="15.75" customHeight="1">
      <c r="A45" s="50">
        <v>44</v>
      </c>
      <c r="B45" s="50">
        <v>29719</v>
      </c>
      <c r="C45" s="51" t="s">
        <v>49</v>
      </c>
      <c r="D45" s="52">
        <v>44964</v>
      </c>
      <c r="E45" s="52">
        <v>44970</v>
      </c>
      <c r="F45" s="52">
        <v>44980</v>
      </c>
      <c r="G45" s="51"/>
      <c r="H45" s="51"/>
      <c r="I45" s="53">
        <f t="shared" si="1"/>
        <v>1</v>
      </c>
      <c r="J45" s="1"/>
      <c r="K45" s="1"/>
      <c r="L45" s="1"/>
      <c r="M45" s="1"/>
      <c r="N45" s="1"/>
      <c r="O45" s="1"/>
      <c r="P45" s="1"/>
      <c r="Q45" s="1"/>
      <c r="R45" s="1"/>
      <c r="S45" s="1"/>
      <c r="T45" s="1"/>
      <c r="U45" s="1"/>
    </row>
    <row r="46" spans="1:21" ht="15.75" customHeight="1">
      <c r="A46" s="46">
        <v>45</v>
      </c>
      <c r="B46" s="46">
        <v>25733</v>
      </c>
      <c r="C46" s="47" t="s">
        <v>49</v>
      </c>
      <c r="D46" s="48">
        <v>45064</v>
      </c>
      <c r="E46" s="48">
        <v>45068</v>
      </c>
      <c r="F46" s="47"/>
      <c r="G46" s="47"/>
      <c r="H46" s="47"/>
      <c r="I46" s="54">
        <f t="shared" si="1"/>
        <v>0</v>
      </c>
      <c r="J46" s="1"/>
      <c r="K46" s="1"/>
      <c r="L46" s="1"/>
      <c r="M46" s="1"/>
      <c r="N46" s="1"/>
      <c r="O46" s="1"/>
      <c r="P46" s="1"/>
      <c r="Q46" s="1"/>
      <c r="R46" s="1"/>
      <c r="S46" s="1"/>
      <c r="T46" s="1"/>
      <c r="U46" s="1"/>
    </row>
    <row r="47" spans="1:21" ht="15.75" customHeight="1">
      <c r="A47" s="50">
        <v>46</v>
      </c>
      <c r="B47" s="50">
        <v>26071</v>
      </c>
      <c r="C47" s="51" t="s">
        <v>49</v>
      </c>
      <c r="D47" s="52">
        <v>45013</v>
      </c>
      <c r="E47" s="52">
        <v>45016</v>
      </c>
      <c r="F47" s="52">
        <v>45024</v>
      </c>
      <c r="G47" s="51"/>
      <c r="H47" s="51"/>
      <c r="I47" s="53">
        <f t="shared" si="1"/>
        <v>1</v>
      </c>
      <c r="J47" s="1"/>
      <c r="K47" s="1"/>
      <c r="L47" s="1"/>
      <c r="M47" s="1"/>
      <c r="N47" s="1"/>
      <c r="O47" s="1"/>
      <c r="P47" s="1"/>
      <c r="Q47" s="1"/>
      <c r="R47" s="1"/>
      <c r="S47" s="1"/>
      <c r="T47" s="1"/>
      <c r="U47" s="1"/>
    </row>
    <row r="48" spans="1:21" ht="15.75" customHeight="1">
      <c r="A48" s="46">
        <v>47</v>
      </c>
      <c r="B48" s="46">
        <v>21931</v>
      </c>
      <c r="C48" s="47" t="s">
        <v>45</v>
      </c>
      <c r="D48" s="48">
        <v>44974</v>
      </c>
      <c r="E48" s="48">
        <v>44978</v>
      </c>
      <c r="F48" s="48">
        <v>44997</v>
      </c>
      <c r="G48" s="47"/>
      <c r="H48" s="47"/>
      <c r="I48" s="54">
        <f t="shared" si="1"/>
        <v>1</v>
      </c>
      <c r="J48" s="1"/>
      <c r="K48" s="1"/>
      <c r="L48" s="1"/>
      <c r="M48" s="1"/>
      <c r="N48" s="1"/>
      <c r="O48" s="1"/>
      <c r="P48" s="1"/>
      <c r="Q48" s="1"/>
      <c r="R48" s="1"/>
      <c r="S48" s="1"/>
      <c r="T48" s="1"/>
      <c r="U48" s="1"/>
    </row>
    <row r="49" spans="1:21" ht="15.75" customHeight="1">
      <c r="A49" s="50">
        <v>48</v>
      </c>
      <c r="B49" s="50">
        <v>17913</v>
      </c>
      <c r="C49" s="51" t="s">
        <v>45</v>
      </c>
      <c r="D49" s="52">
        <v>44979</v>
      </c>
      <c r="E49" s="52">
        <v>44980</v>
      </c>
      <c r="F49" s="51"/>
      <c r="G49" s="51"/>
      <c r="H49" s="51"/>
      <c r="I49" s="53">
        <f t="shared" si="1"/>
        <v>0</v>
      </c>
      <c r="J49" s="1"/>
      <c r="K49" s="1"/>
      <c r="L49" s="1"/>
      <c r="M49" s="1"/>
      <c r="N49" s="1"/>
      <c r="O49" s="1"/>
      <c r="P49" s="1"/>
      <c r="Q49" s="1"/>
      <c r="R49" s="1"/>
      <c r="S49" s="1"/>
      <c r="T49" s="1"/>
      <c r="U49" s="1"/>
    </row>
    <row r="50" spans="1:21" ht="15.75" customHeight="1">
      <c r="A50" s="46">
        <v>49</v>
      </c>
      <c r="B50" s="46">
        <v>24930</v>
      </c>
      <c r="C50" s="47" t="s">
        <v>32</v>
      </c>
      <c r="D50" s="48">
        <v>44976</v>
      </c>
      <c r="E50" s="48">
        <v>44979</v>
      </c>
      <c r="F50" s="48">
        <v>44988</v>
      </c>
      <c r="G50" s="47"/>
      <c r="H50" s="47"/>
      <c r="I50" s="54">
        <f t="shared" si="1"/>
        <v>1</v>
      </c>
      <c r="J50" s="1"/>
      <c r="K50" s="1"/>
      <c r="L50" s="1"/>
      <c r="M50" s="1"/>
      <c r="N50" s="1"/>
      <c r="O50" s="1"/>
      <c r="P50" s="1"/>
      <c r="Q50" s="1"/>
      <c r="R50" s="1"/>
      <c r="S50" s="1"/>
      <c r="T50" s="1"/>
      <c r="U50" s="1"/>
    </row>
    <row r="51" spans="1:21" ht="15.75" customHeight="1">
      <c r="A51" s="50">
        <v>50</v>
      </c>
      <c r="B51" s="50">
        <v>16645</v>
      </c>
      <c r="C51" s="51" t="s">
        <v>32</v>
      </c>
      <c r="D51" s="52">
        <v>44966</v>
      </c>
      <c r="E51" s="52">
        <v>44966</v>
      </c>
      <c r="F51" s="52">
        <v>44970</v>
      </c>
      <c r="G51" s="51"/>
      <c r="H51" s="51"/>
      <c r="I51" s="53">
        <f t="shared" si="1"/>
        <v>1</v>
      </c>
      <c r="J51" s="1"/>
      <c r="K51" s="1"/>
      <c r="L51" s="1"/>
      <c r="M51" s="1"/>
      <c r="N51" s="1"/>
      <c r="O51" s="1"/>
      <c r="P51" s="1"/>
      <c r="Q51" s="1"/>
      <c r="R51" s="1"/>
      <c r="S51" s="1"/>
      <c r="T51" s="1"/>
      <c r="U51" s="1"/>
    </row>
    <row r="52" spans="1:21" ht="15.75" customHeight="1">
      <c r="A52" s="46">
        <v>51</v>
      </c>
      <c r="B52" s="46">
        <v>12767</v>
      </c>
      <c r="C52" s="47" t="s">
        <v>33</v>
      </c>
      <c r="D52" s="48">
        <v>45040</v>
      </c>
      <c r="E52" s="48">
        <v>45046</v>
      </c>
      <c r="F52" s="48">
        <v>45060</v>
      </c>
      <c r="G52" s="47"/>
      <c r="H52" s="47"/>
      <c r="I52" s="54">
        <f t="shared" si="1"/>
        <v>1</v>
      </c>
      <c r="J52" s="1"/>
      <c r="K52" s="1"/>
      <c r="L52" s="1"/>
      <c r="M52" s="1"/>
      <c r="N52" s="1"/>
      <c r="O52" s="1"/>
      <c r="P52" s="1"/>
      <c r="Q52" s="1"/>
      <c r="R52" s="1"/>
      <c r="S52" s="1"/>
      <c r="T52" s="1"/>
      <c r="U52" s="1"/>
    </row>
    <row r="53" spans="1:21" ht="15.75" customHeight="1">
      <c r="A53" s="50">
        <v>52</v>
      </c>
      <c r="B53" s="50">
        <v>27521</v>
      </c>
      <c r="C53" s="51" t="s">
        <v>32</v>
      </c>
      <c r="D53" s="52">
        <v>45036</v>
      </c>
      <c r="E53" s="52">
        <v>45042</v>
      </c>
      <c r="F53" s="52">
        <v>45050</v>
      </c>
      <c r="G53" s="51"/>
      <c r="H53" s="51"/>
      <c r="I53" s="53">
        <f t="shared" si="1"/>
        <v>1</v>
      </c>
      <c r="J53" s="1"/>
      <c r="K53" s="1"/>
      <c r="L53" s="1"/>
      <c r="M53" s="1"/>
      <c r="N53" s="1"/>
      <c r="O53" s="1"/>
      <c r="P53" s="1"/>
      <c r="Q53" s="1"/>
      <c r="R53" s="1"/>
      <c r="S53" s="1"/>
      <c r="T53" s="1"/>
      <c r="U53" s="1"/>
    </row>
    <row r="54" spans="1:21" ht="15.75" customHeight="1">
      <c r="A54" s="46">
        <v>53</v>
      </c>
      <c r="B54" s="46">
        <v>14400</v>
      </c>
      <c r="C54" s="47" t="s">
        <v>49</v>
      </c>
      <c r="D54" s="48">
        <v>44995</v>
      </c>
      <c r="E54" s="48">
        <v>44998</v>
      </c>
      <c r="F54" s="48">
        <v>45006</v>
      </c>
      <c r="G54" s="47"/>
      <c r="H54" s="47"/>
      <c r="I54" s="54">
        <f t="shared" si="1"/>
        <v>1</v>
      </c>
      <c r="J54" s="1"/>
      <c r="K54" s="1"/>
      <c r="L54" s="1"/>
      <c r="M54" s="1"/>
      <c r="N54" s="1"/>
      <c r="O54" s="1"/>
      <c r="P54" s="1"/>
      <c r="Q54" s="1"/>
      <c r="R54" s="1"/>
      <c r="S54" s="1"/>
      <c r="T54" s="1"/>
      <c r="U54" s="1"/>
    </row>
    <row r="55" spans="1:21" ht="15.75" customHeight="1">
      <c r="A55" s="50">
        <v>54</v>
      </c>
      <c r="B55" s="50">
        <v>18180</v>
      </c>
      <c r="C55" s="51" t="s">
        <v>45</v>
      </c>
      <c r="D55" s="52">
        <v>44966</v>
      </c>
      <c r="E55" s="52">
        <v>44968</v>
      </c>
      <c r="F55" s="52">
        <v>44992</v>
      </c>
      <c r="G55" s="51"/>
      <c r="H55" s="51"/>
      <c r="I55" s="53">
        <f t="shared" si="1"/>
        <v>1</v>
      </c>
      <c r="J55" s="1"/>
      <c r="K55" s="1"/>
      <c r="L55" s="1"/>
      <c r="M55" s="1"/>
      <c r="N55" s="1"/>
      <c r="O55" s="1"/>
      <c r="P55" s="1"/>
      <c r="Q55" s="1"/>
      <c r="R55" s="1"/>
      <c r="S55" s="1"/>
      <c r="T55" s="1"/>
      <c r="U55" s="1"/>
    </row>
    <row r="56" spans="1:21" ht="15.75" customHeight="1">
      <c r="A56" s="46">
        <v>55</v>
      </c>
      <c r="B56" s="46">
        <v>10939</v>
      </c>
      <c r="C56" s="47" t="s">
        <v>32</v>
      </c>
      <c r="D56" s="48">
        <v>45056</v>
      </c>
      <c r="E56" s="48">
        <v>45059</v>
      </c>
      <c r="F56" s="48">
        <v>45060</v>
      </c>
      <c r="G56" s="47"/>
      <c r="H56" s="47"/>
      <c r="I56" s="54">
        <f t="shared" si="1"/>
        <v>1</v>
      </c>
      <c r="J56" s="1"/>
      <c r="K56" s="1"/>
      <c r="L56" s="1"/>
      <c r="M56" s="1"/>
      <c r="N56" s="1"/>
      <c r="O56" s="1"/>
      <c r="P56" s="1"/>
      <c r="Q56" s="1"/>
      <c r="R56" s="1"/>
      <c r="S56" s="1"/>
      <c r="T56" s="1"/>
      <c r="U56" s="1"/>
    </row>
    <row r="57" spans="1:21" ht="15.75" customHeight="1">
      <c r="A57" s="50">
        <v>56</v>
      </c>
      <c r="B57" s="50">
        <v>24721</v>
      </c>
      <c r="C57" s="51" t="s">
        <v>45</v>
      </c>
      <c r="D57" s="52">
        <v>45062</v>
      </c>
      <c r="E57" s="52">
        <v>45062</v>
      </c>
      <c r="F57" s="52">
        <v>45068</v>
      </c>
      <c r="G57" s="51"/>
      <c r="H57" s="51"/>
      <c r="I57" s="53">
        <f t="shared" si="1"/>
        <v>1</v>
      </c>
      <c r="J57" s="1"/>
      <c r="K57" s="1"/>
      <c r="L57" s="1"/>
      <c r="M57" s="1"/>
      <c r="N57" s="1"/>
      <c r="O57" s="1"/>
      <c r="P57" s="1"/>
      <c r="Q57" s="1"/>
      <c r="R57" s="1"/>
      <c r="S57" s="1"/>
      <c r="T57" s="1"/>
      <c r="U57" s="1"/>
    </row>
    <row r="58" spans="1:21" ht="15.75" customHeight="1">
      <c r="A58" s="46">
        <v>57</v>
      </c>
      <c r="B58" s="46">
        <v>18734</v>
      </c>
      <c r="C58" s="47" t="s">
        <v>32</v>
      </c>
      <c r="D58" s="48">
        <v>44988</v>
      </c>
      <c r="E58" s="48">
        <v>44988</v>
      </c>
      <c r="F58" s="48">
        <v>45001</v>
      </c>
      <c r="G58" s="47"/>
      <c r="H58" s="47"/>
      <c r="I58" s="54">
        <f t="shared" si="1"/>
        <v>1</v>
      </c>
      <c r="J58" s="1"/>
      <c r="K58" s="1"/>
      <c r="L58" s="1"/>
      <c r="M58" s="1"/>
      <c r="N58" s="1"/>
      <c r="O58" s="1"/>
      <c r="P58" s="1"/>
      <c r="Q58" s="1"/>
      <c r="R58" s="1"/>
      <c r="S58" s="1"/>
      <c r="T58" s="1"/>
      <c r="U58" s="1"/>
    </row>
    <row r="59" spans="1:21" ht="15.75" customHeight="1">
      <c r="A59" s="50">
        <v>58</v>
      </c>
      <c r="B59" s="50">
        <v>24781</v>
      </c>
      <c r="C59" s="51" t="s">
        <v>49</v>
      </c>
      <c r="D59" s="52">
        <v>45063</v>
      </c>
      <c r="E59" s="52">
        <v>45063</v>
      </c>
      <c r="F59" s="51"/>
      <c r="G59" s="51"/>
      <c r="H59" s="51"/>
      <c r="I59" s="53">
        <f t="shared" si="1"/>
        <v>0</v>
      </c>
      <c r="J59" s="1"/>
      <c r="K59" s="1"/>
      <c r="L59" s="1"/>
      <c r="M59" s="1"/>
      <c r="N59" s="1"/>
      <c r="O59" s="1"/>
      <c r="P59" s="1"/>
      <c r="Q59" s="1"/>
      <c r="R59" s="1"/>
      <c r="S59" s="1"/>
      <c r="T59" s="1"/>
      <c r="U59" s="1"/>
    </row>
    <row r="60" spans="1:21" ht="15.75" customHeight="1">
      <c r="A60" s="46">
        <v>59</v>
      </c>
      <c r="B60" s="46">
        <v>10932</v>
      </c>
      <c r="C60" s="47" t="s">
        <v>32</v>
      </c>
      <c r="D60" s="48">
        <v>45070</v>
      </c>
      <c r="E60" s="48">
        <v>45076</v>
      </c>
      <c r="F60" s="48">
        <v>45087</v>
      </c>
      <c r="G60" s="47"/>
      <c r="H60" s="47"/>
      <c r="I60" s="54">
        <f t="shared" si="1"/>
        <v>1</v>
      </c>
      <c r="J60" s="1"/>
      <c r="K60" s="1"/>
      <c r="L60" s="1"/>
      <c r="M60" s="1"/>
      <c r="N60" s="1"/>
      <c r="O60" s="1"/>
      <c r="P60" s="1"/>
      <c r="Q60" s="1"/>
      <c r="R60" s="1"/>
      <c r="S60" s="1"/>
      <c r="T60" s="1"/>
      <c r="U60" s="1"/>
    </row>
    <row r="61" spans="1:21" ht="15.75" customHeight="1">
      <c r="A61" s="50">
        <v>60</v>
      </c>
      <c r="B61" s="50">
        <v>23432</v>
      </c>
      <c r="C61" s="51" t="s">
        <v>32</v>
      </c>
      <c r="D61" s="52">
        <v>45069</v>
      </c>
      <c r="E61" s="52">
        <v>45074</v>
      </c>
      <c r="F61" s="52">
        <v>45079</v>
      </c>
      <c r="G61" s="51"/>
      <c r="H61" s="51"/>
      <c r="I61" s="53">
        <f t="shared" si="1"/>
        <v>1</v>
      </c>
      <c r="J61" s="1"/>
      <c r="K61" s="1"/>
      <c r="L61" s="1"/>
      <c r="M61" s="1"/>
      <c r="N61" s="1"/>
      <c r="O61" s="1"/>
      <c r="P61" s="1"/>
      <c r="Q61" s="1"/>
      <c r="R61" s="1"/>
      <c r="S61" s="1"/>
      <c r="T61" s="1"/>
      <c r="U61" s="1"/>
    </row>
    <row r="62" spans="1:21" ht="15.75" customHeight="1">
      <c r="A62" s="46">
        <v>61</v>
      </c>
      <c r="B62" s="46">
        <v>10196</v>
      </c>
      <c r="C62" s="47" t="s">
        <v>33</v>
      </c>
      <c r="D62" s="48">
        <v>45007</v>
      </c>
      <c r="E62" s="48">
        <v>45007</v>
      </c>
      <c r="F62" s="48">
        <v>45009</v>
      </c>
      <c r="G62" s="47"/>
      <c r="H62" s="47"/>
      <c r="I62" s="54">
        <f t="shared" si="1"/>
        <v>1</v>
      </c>
      <c r="J62" s="1"/>
      <c r="K62" s="1"/>
      <c r="L62" s="1"/>
      <c r="M62" s="1"/>
      <c r="N62" s="1"/>
      <c r="O62" s="1"/>
      <c r="P62" s="1"/>
      <c r="Q62" s="1"/>
      <c r="R62" s="1"/>
      <c r="S62" s="1"/>
      <c r="T62" s="1"/>
      <c r="U62" s="1"/>
    </row>
    <row r="63" spans="1:21" ht="15.75" customHeight="1">
      <c r="A63" s="50">
        <v>62</v>
      </c>
      <c r="B63" s="50">
        <v>28549</v>
      </c>
      <c r="C63" s="51" t="s">
        <v>45</v>
      </c>
      <c r="D63" s="52">
        <v>45005</v>
      </c>
      <c r="E63" s="52">
        <v>45008</v>
      </c>
      <c r="F63" s="52">
        <v>45029</v>
      </c>
      <c r="G63" s="51"/>
      <c r="H63" s="51"/>
      <c r="I63" s="53">
        <f t="shared" si="1"/>
        <v>1</v>
      </c>
      <c r="J63" s="1"/>
      <c r="K63" s="1"/>
      <c r="L63" s="1"/>
      <c r="M63" s="1"/>
      <c r="N63" s="1"/>
      <c r="O63" s="1"/>
      <c r="P63" s="1"/>
      <c r="Q63" s="1"/>
      <c r="R63" s="1"/>
      <c r="S63" s="1"/>
      <c r="T63" s="1"/>
      <c r="U63" s="1"/>
    </row>
    <row r="64" spans="1:21" ht="15.75" customHeight="1">
      <c r="A64" s="46">
        <v>63</v>
      </c>
      <c r="B64" s="46">
        <v>15391</v>
      </c>
      <c r="C64" s="47" t="s">
        <v>49</v>
      </c>
      <c r="D64" s="48">
        <v>45043</v>
      </c>
      <c r="E64" s="48">
        <v>45046</v>
      </c>
      <c r="F64" s="48">
        <v>45048</v>
      </c>
      <c r="G64" s="47"/>
      <c r="H64" s="47"/>
      <c r="I64" s="54">
        <f t="shared" si="1"/>
        <v>1</v>
      </c>
      <c r="J64" s="1"/>
      <c r="K64" s="1"/>
      <c r="L64" s="1"/>
      <c r="M64" s="1"/>
      <c r="N64" s="1"/>
      <c r="O64" s="1"/>
      <c r="P64" s="1"/>
      <c r="Q64" s="1"/>
      <c r="R64" s="1"/>
      <c r="S64" s="1"/>
      <c r="T64" s="1"/>
      <c r="U64" s="1"/>
    </row>
    <row r="65" spans="1:21" ht="15.75" customHeight="1">
      <c r="A65" s="50">
        <v>64</v>
      </c>
      <c r="B65" s="50">
        <v>11359</v>
      </c>
      <c r="C65" s="51" t="s">
        <v>45</v>
      </c>
      <c r="D65" s="52">
        <v>44984</v>
      </c>
      <c r="E65" s="52">
        <v>44988</v>
      </c>
      <c r="F65" s="52">
        <v>44993</v>
      </c>
      <c r="G65" s="51"/>
      <c r="H65" s="51"/>
      <c r="I65" s="53">
        <f t="shared" si="1"/>
        <v>1</v>
      </c>
      <c r="J65" s="1"/>
      <c r="K65" s="1"/>
      <c r="L65" s="1"/>
      <c r="M65" s="1"/>
      <c r="N65" s="1"/>
      <c r="O65" s="1"/>
      <c r="P65" s="1"/>
      <c r="Q65" s="1"/>
      <c r="R65" s="1"/>
      <c r="S65" s="1"/>
      <c r="T65" s="1"/>
      <c r="U65" s="1"/>
    </row>
    <row r="66" spans="1:21" ht="15.75" customHeight="1">
      <c r="A66" s="46">
        <v>65</v>
      </c>
      <c r="B66" s="46">
        <v>20052</v>
      </c>
      <c r="C66" s="47" t="s">
        <v>45</v>
      </c>
      <c r="D66" s="48">
        <v>45051</v>
      </c>
      <c r="E66" s="48">
        <v>45054</v>
      </c>
      <c r="F66" s="48">
        <v>45061</v>
      </c>
      <c r="G66" s="47"/>
      <c r="H66" s="47"/>
      <c r="I66" s="54">
        <f t="shared" si="1"/>
        <v>1</v>
      </c>
      <c r="J66" s="1"/>
      <c r="K66" s="1"/>
      <c r="L66" s="1"/>
      <c r="M66" s="1"/>
      <c r="N66" s="1"/>
      <c r="O66" s="1"/>
      <c r="P66" s="1"/>
      <c r="Q66" s="1"/>
      <c r="R66" s="1"/>
      <c r="S66" s="1"/>
      <c r="T66" s="1"/>
      <c r="U66" s="1"/>
    </row>
    <row r="67" spans="1:21" ht="15.75" customHeight="1">
      <c r="A67" s="50">
        <v>66</v>
      </c>
      <c r="B67" s="50">
        <v>28839</v>
      </c>
      <c r="C67" s="51" t="s">
        <v>45</v>
      </c>
      <c r="D67" s="52">
        <v>45043</v>
      </c>
      <c r="E67" s="52">
        <v>45044</v>
      </c>
      <c r="F67" s="52">
        <v>45057</v>
      </c>
      <c r="G67" s="51"/>
      <c r="H67" s="51"/>
      <c r="I67" s="53">
        <f t="shared" si="1"/>
        <v>1</v>
      </c>
      <c r="J67" s="1"/>
      <c r="K67" s="1"/>
      <c r="L67" s="1"/>
      <c r="M67" s="1"/>
      <c r="N67" s="1"/>
      <c r="O67" s="1"/>
      <c r="P67" s="1"/>
      <c r="Q67" s="1"/>
      <c r="R67" s="1"/>
      <c r="S67" s="1"/>
      <c r="T67" s="1"/>
      <c r="U67" s="1"/>
    </row>
    <row r="68" spans="1:21" ht="15.75" customHeight="1">
      <c r="A68" s="46">
        <v>67</v>
      </c>
      <c r="B68" s="46">
        <v>18995</v>
      </c>
      <c r="C68" s="47" t="s">
        <v>45</v>
      </c>
      <c r="D68" s="48">
        <v>44977</v>
      </c>
      <c r="E68" s="48">
        <v>44977</v>
      </c>
      <c r="F68" s="48">
        <v>44984</v>
      </c>
      <c r="G68" s="47"/>
      <c r="H68" s="47"/>
      <c r="I68" s="54">
        <f t="shared" si="1"/>
        <v>1</v>
      </c>
      <c r="J68" s="1"/>
      <c r="K68" s="1"/>
      <c r="L68" s="1"/>
      <c r="M68" s="1"/>
      <c r="N68" s="1"/>
      <c r="O68" s="1"/>
      <c r="P68" s="1"/>
      <c r="Q68" s="1"/>
      <c r="R68" s="1"/>
      <c r="S68" s="1"/>
      <c r="T68" s="1"/>
      <c r="U68" s="1"/>
    </row>
    <row r="69" spans="1:21" ht="15.75" customHeight="1">
      <c r="A69" s="50">
        <v>68</v>
      </c>
      <c r="B69" s="50">
        <v>24201</v>
      </c>
      <c r="C69" s="51" t="s">
        <v>33</v>
      </c>
      <c r="D69" s="52">
        <v>44977</v>
      </c>
      <c r="E69" s="52">
        <v>44983</v>
      </c>
      <c r="F69" s="52">
        <v>45008</v>
      </c>
      <c r="G69" s="51"/>
      <c r="H69" s="51"/>
      <c r="I69" s="53">
        <f t="shared" si="1"/>
        <v>1</v>
      </c>
      <c r="J69" s="1"/>
      <c r="K69" s="1"/>
      <c r="L69" s="1"/>
      <c r="M69" s="1"/>
      <c r="N69" s="1"/>
      <c r="O69" s="1"/>
      <c r="P69" s="1"/>
      <c r="Q69" s="1"/>
      <c r="R69" s="1"/>
      <c r="S69" s="1"/>
      <c r="T69" s="1"/>
      <c r="U69" s="1"/>
    </row>
    <row r="70" spans="1:21" ht="15.75" customHeight="1">
      <c r="A70" s="46">
        <v>69</v>
      </c>
      <c r="B70" s="46">
        <v>29564</v>
      </c>
      <c r="C70" s="47" t="s">
        <v>45</v>
      </c>
      <c r="D70" s="48">
        <v>44994</v>
      </c>
      <c r="E70" s="48">
        <v>44998</v>
      </c>
      <c r="F70" s="48">
        <v>45009</v>
      </c>
      <c r="G70" s="47"/>
      <c r="H70" s="47"/>
      <c r="I70" s="54">
        <f t="shared" si="1"/>
        <v>1</v>
      </c>
      <c r="J70" s="1"/>
      <c r="K70" s="1"/>
      <c r="L70" s="1"/>
      <c r="M70" s="1"/>
      <c r="N70" s="1"/>
      <c r="O70" s="1"/>
      <c r="P70" s="1"/>
      <c r="Q70" s="1"/>
      <c r="R70" s="1"/>
      <c r="S70" s="1"/>
      <c r="T70" s="1"/>
      <c r="U70" s="1"/>
    </row>
    <row r="71" spans="1:21" ht="15.75" customHeight="1">
      <c r="A71" s="50">
        <v>70</v>
      </c>
      <c r="B71" s="50">
        <v>28949</v>
      </c>
      <c r="C71" s="51" t="s">
        <v>45</v>
      </c>
      <c r="D71" s="52">
        <v>45022</v>
      </c>
      <c r="E71" s="52">
        <v>45022</v>
      </c>
      <c r="F71" s="52">
        <v>45042</v>
      </c>
      <c r="G71" s="51"/>
      <c r="H71" s="51"/>
      <c r="I71" s="53">
        <f t="shared" si="1"/>
        <v>1</v>
      </c>
      <c r="J71" s="1"/>
      <c r="K71" s="1"/>
      <c r="L71" s="1"/>
      <c r="M71" s="1"/>
      <c r="N71" s="1"/>
      <c r="O71" s="1"/>
      <c r="P71" s="1"/>
      <c r="Q71" s="1"/>
      <c r="R71" s="1"/>
      <c r="S71" s="1"/>
      <c r="T71" s="1"/>
      <c r="U71" s="1"/>
    </row>
    <row r="72" spans="1:21" ht="15.75" customHeight="1">
      <c r="A72" s="46">
        <v>71</v>
      </c>
      <c r="B72" s="46">
        <v>29380</v>
      </c>
      <c r="C72" s="47" t="s">
        <v>33</v>
      </c>
      <c r="D72" s="48">
        <v>45030</v>
      </c>
      <c r="E72" s="48">
        <v>45036</v>
      </c>
      <c r="F72" s="48">
        <v>45048</v>
      </c>
      <c r="G72" s="47"/>
      <c r="H72" s="47"/>
      <c r="I72" s="54">
        <f t="shared" si="1"/>
        <v>1</v>
      </c>
      <c r="J72" s="1"/>
      <c r="K72" s="1"/>
      <c r="L72" s="1"/>
      <c r="M72" s="1"/>
      <c r="N72" s="1"/>
      <c r="O72" s="1"/>
      <c r="P72" s="1"/>
      <c r="Q72" s="1"/>
      <c r="R72" s="1"/>
      <c r="S72" s="1"/>
      <c r="T72" s="1"/>
      <c r="U72" s="1"/>
    </row>
    <row r="73" spans="1:21" ht="15.75" customHeight="1">
      <c r="A73" s="50">
        <v>72</v>
      </c>
      <c r="B73" s="50">
        <v>12028</v>
      </c>
      <c r="C73" s="51" t="s">
        <v>32</v>
      </c>
      <c r="D73" s="52">
        <v>45014</v>
      </c>
      <c r="E73" s="52">
        <v>45019</v>
      </c>
      <c r="F73" s="51"/>
      <c r="G73" s="51"/>
      <c r="H73" s="51"/>
      <c r="I73" s="53">
        <f t="shared" si="1"/>
        <v>0</v>
      </c>
      <c r="J73" s="1"/>
      <c r="K73" s="1"/>
      <c r="L73" s="1"/>
      <c r="M73" s="1"/>
      <c r="N73" s="1"/>
      <c r="O73" s="1"/>
      <c r="P73" s="1"/>
      <c r="Q73" s="1"/>
      <c r="R73" s="1"/>
      <c r="S73" s="1"/>
      <c r="T73" s="1"/>
      <c r="U73" s="1"/>
    </row>
    <row r="74" spans="1:21" ht="15.75" customHeight="1">
      <c r="A74" s="46">
        <v>73</v>
      </c>
      <c r="B74" s="46">
        <v>27071</v>
      </c>
      <c r="C74" s="47" t="s">
        <v>32</v>
      </c>
      <c r="D74" s="48">
        <v>44948</v>
      </c>
      <c r="E74" s="48">
        <v>44953</v>
      </c>
      <c r="F74" s="48">
        <v>44961</v>
      </c>
      <c r="G74" s="47"/>
      <c r="H74" s="47"/>
      <c r="I74" s="54">
        <f t="shared" si="1"/>
        <v>1</v>
      </c>
      <c r="J74" s="1"/>
      <c r="K74" s="1"/>
      <c r="L74" s="1"/>
      <c r="M74" s="1"/>
      <c r="N74" s="1"/>
      <c r="O74" s="1"/>
      <c r="P74" s="1"/>
      <c r="Q74" s="1"/>
      <c r="R74" s="1"/>
      <c r="S74" s="1"/>
      <c r="T74" s="1"/>
      <c r="U74" s="1"/>
    </row>
    <row r="75" spans="1:21" ht="15.75" customHeight="1">
      <c r="A75" s="50">
        <v>74</v>
      </c>
      <c r="B75" s="50">
        <v>20460</v>
      </c>
      <c r="C75" s="51" t="s">
        <v>32</v>
      </c>
      <c r="D75" s="52">
        <v>45034</v>
      </c>
      <c r="E75" s="52">
        <v>45038</v>
      </c>
      <c r="F75" s="52">
        <v>45042</v>
      </c>
      <c r="G75" s="52">
        <v>45064</v>
      </c>
      <c r="H75" s="52">
        <v>45068</v>
      </c>
      <c r="I75" s="53">
        <f t="shared" si="1"/>
        <v>1</v>
      </c>
      <c r="J75" s="1"/>
      <c r="K75" s="1"/>
      <c r="L75" s="1"/>
      <c r="M75" s="1"/>
      <c r="N75" s="1"/>
      <c r="O75" s="1"/>
      <c r="P75" s="1"/>
      <c r="Q75" s="1"/>
      <c r="R75" s="1"/>
      <c r="S75" s="1"/>
      <c r="T75" s="1"/>
      <c r="U75" s="1"/>
    </row>
    <row r="76" spans="1:21" ht="15.75" customHeight="1">
      <c r="A76" s="46">
        <v>75</v>
      </c>
      <c r="B76" s="46">
        <v>17260</v>
      </c>
      <c r="C76" s="47" t="s">
        <v>33</v>
      </c>
      <c r="D76" s="48">
        <v>44941</v>
      </c>
      <c r="E76" s="48">
        <v>44941</v>
      </c>
      <c r="F76" s="48">
        <v>44965</v>
      </c>
      <c r="G76" s="47"/>
      <c r="H76" s="47"/>
      <c r="I76" s="54">
        <f t="shared" ref="I76:I139" si="2">IF(ISBLANK(F76),0,1)</f>
        <v>1</v>
      </c>
      <c r="J76" s="1"/>
      <c r="K76" s="1"/>
      <c r="L76" s="1"/>
      <c r="M76" s="1"/>
      <c r="N76" s="1"/>
      <c r="O76" s="1"/>
      <c r="P76" s="1"/>
      <c r="Q76" s="1"/>
      <c r="R76" s="1"/>
      <c r="S76" s="1"/>
      <c r="T76" s="1"/>
      <c r="U76" s="1"/>
    </row>
    <row r="77" spans="1:21" ht="15.75" customHeight="1">
      <c r="A77" s="50">
        <v>76</v>
      </c>
      <c r="B77" s="50">
        <v>23440</v>
      </c>
      <c r="C77" s="51" t="s">
        <v>49</v>
      </c>
      <c r="D77" s="52">
        <v>44973</v>
      </c>
      <c r="E77" s="52">
        <v>44978</v>
      </c>
      <c r="F77" s="52">
        <v>44986</v>
      </c>
      <c r="G77" s="51"/>
      <c r="H77" s="51"/>
      <c r="I77" s="53">
        <f t="shared" si="2"/>
        <v>1</v>
      </c>
      <c r="J77" s="1"/>
      <c r="K77" s="1"/>
      <c r="L77" s="1"/>
      <c r="M77" s="1"/>
      <c r="N77" s="1"/>
      <c r="O77" s="1"/>
      <c r="P77" s="1"/>
      <c r="Q77" s="1"/>
      <c r="R77" s="1"/>
      <c r="S77" s="1"/>
      <c r="T77" s="1"/>
      <c r="U77" s="1"/>
    </row>
    <row r="78" spans="1:21" ht="15.75" customHeight="1">
      <c r="A78" s="46">
        <v>77</v>
      </c>
      <c r="B78" s="46">
        <v>23936</v>
      </c>
      <c r="C78" s="47" t="s">
        <v>33</v>
      </c>
      <c r="D78" s="48">
        <v>44980</v>
      </c>
      <c r="E78" s="48">
        <v>44983</v>
      </c>
      <c r="F78" s="48">
        <v>44984</v>
      </c>
      <c r="G78" s="48">
        <v>44990</v>
      </c>
      <c r="H78" s="48">
        <v>44993</v>
      </c>
      <c r="I78" s="54">
        <f t="shared" si="2"/>
        <v>1</v>
      </c>
      <c r="J78" s="1"/>
      <c r="K78" s="1"/>
      <c r="L78" s="1"/>
      <c r="M78" s="1"/>
      <c r="N78" s="1"/>
      <c r="O78" s="1"/>
      <c r="P78" s="1"/>
      <c r="Q78" s="1"/>
      <c r="R78" s="1"/>
      <c r="S78" s="1"/>
      <c r="T78" s="1"/>
      <c r="U78" s="1"/>
    </row>
    <row r="79" spans="1:21" ht="15.75" customHeight="1">
      <c r="A79" s="50">
        <v>78</v>
      </c>
      <c r="B79" s="50">
        <v>28080</v>
      </c>
      <c r="C79" s="51" t="s">
        <v>33</v>
      </c>
      <c r="D79" s="52">
        <v>45006</v>
      </c>
      <c r="E79" s="52">
        <v>45011</v>
      </c>
      <c r="F79" s="52">
        <v>45012</v>
      </c>
      <c r="G79" s="52">
        <v>45037</v>
      </c>
      <c r="H79" s="52">
        <v>45041</v>
      </c>
      <c r="I79" s="53">
        <f t="shared" si="2"/>
        <v>1</v>
      </c>
      <c r="J79" s="1"/>
      <c r="K79" s="1"/>
      <c r="L79" s="1"/>
      <c r="M79" s="1"/>
      <c r="N79" s="1"/>
      <c r="O79" s="1"/>
      <c r="P79" s="1"/>
      <c r="Q79" s="1"/>
      <c r="R79" s="1"/>
      <c r="S79" s="1"/>
      <c r="T79" s="1"/>
      <c r="U79" s="1"/>
    </row>
    <row r="80" spans="1:21" ht="15.75" customHeight="1">
      <c r="A80" s="46">
        <v>79</v>
      </c>
      <c r="B80" s="46">
        <v>17466</v>
      </c>
      <c r="C80" s="47" t="s">
        <v>49</v>
      </c>
      <c r="D80" s="48">
        <v>45015</v>
      </c>
      <c r="E80" s="48">
        <v>45021</v>
      </c>
      <c r="F80" s="48">
        <v>45024</v>
      </c>
      <c r="G80" s="47"/>
      <c r="H80" s="47"/>
      <c r="I80" s="54">
        <f t="shared" si="2"/>
        <v>1</v>
      </c>
      <c r="J80" s="1"/>
      <c r="K80" s="1"/>
      <c r="L80" s="1"/>
      <c r="M80" s="1"/>
      <c r="N80" s="1"/>
      <c r="O80" s="1"/>
      <c r="P80" s="1"/>
      <c r="Q80" s="1"/>
      <c r="R80" s="1"/>
      <c r="S80" s="1"/>
      <c r="T80" s="1"/>
      <c r="U80" s="1"/>
    </row>
    <row r="81" spans="1:21" ht="15.75" customHeight="1">
      <c r="A81" s="50">
        <v>80</v>
      </c>
      <c r="B81" s="50">
        <v>14196</v>
      </c>
      <c r="C81" s="51" t="s">
        <v>33</v>
      </c>
      <c r="D81" s="52">
        <v>44963</v>
      </c>
      <c r="E81" s="52">
        <v>44965</v>
      </c>
      <c r="F81" s="52">
        <v>44969</v>
      </c>
      <c r="G81" s="52">
        <v>44969</v>
      </c>
      <c r="H81" s="52">
        <v>44972</v>
      </c>
      <c r="I81" s="53">
        <f t="shared" si="2"/>
        <v>1</v>
      </c>
      <c r="J81" s="1"/>
      <c r="K81" s="1"/>
      <c r="L81" s="1"/>
      <c r="M81" s="1"/>
      <c r="N81" s="1"/>
      <c r="O81" s="1"/>
      <c r="P81" s="1"/>
      <c r="Q81" s="1"/>
      <c r="R81" s="1"/>
      <c r="S81" s="1"/>
      <c r="T81" s="1"/>
      <c r="U81" s="1"/>
    </row>
    <row r="82" spans="1:21" ht="15.75" customHeight="1">
      <c r="A82" s="46">
        <v>81</v>
      </c>
      <c r="B82" s="46">
        <v>15924</v>
      </c>
      <c r="C82" s="47" t="s">
        <v>45</v>
      </c>
      <c r="D82" s="48">
        <v>45058</v>
      </c>
      <c r="E82" s="48">
        <v>45060</v>
      </c>
      <c r="F82" s="47"/>
      <c r="G82" s="47"/>
      <c r="H82" s="47"/>
      <c r="I82" s="54">
        <f t="shared" si="2"/>
        <v>0</v>
      </c>
      <c r="J82" s="1"/>
      <c r="K82" s="1"/>
      <c r="L82" s="1"/>
      <c r="M82" s="1"/>
      <c r="N82" s="1"/>
      <c r="O82" s="1"/>
      <c r="P82" s="1"/>
      <c r="Q82" s="1"/>
      <c r="R82" s="1"/>
      <c r="S82" s="1"/>
      <c r="T82" s="1"/>
      <c r="U82" s="1"/>
    </row>
    <row r="83" spans="1:21" ht="15.75" customHeight="1">
      <c r="A83" s="50">
        <v>82</v>
      </c>
      <c r="B83" s="50">
        <v>27202</v>
      </c>
      <c r="C83" s="51" t="s">
        <v>49</v>
      </c>
      <c r="D83" s="52">
        <v>45060</v>
      </c>
      <c r="E83" s="52">
        <v>45064</v>
      </c>
      <c r="F83" s="52">
        <v>45072</v>
      </c>
      <c r="G83" s="52">
        <v>45077</v>
      </c>
      <c r="H83" s="52">
        <v>45081</v>
      </c>
      <c r="I83" s="53">
        <f t="shared" si="2"/>
        <v>1</v>
      </c>
      <c r="J83" s="1"/>
      <c r="K83" s="1"/>
      <c r="L83" s="1"/>
      <c r="M83" s="1"/>
      <c r="N83" s="1"/>
      <c r="O83" s="1"/>
      <c r="P83" s="1"/>
      <c r="Q83" s="1"/>
      <c r="R83" s="1"/>
      <c r="S83" s="1"/>
      <c r="T83" s="1"/>
      <c r="U83" s="1"/>
    </row>
    <row r="84" spans="1:21" ht="15.75" customHeight="1">
      <c r="A84" s="46">
        <v>83</v>
      </c>
      <c r="B84" s="46">
        <v>29930</v>
      </c>
      <c r="C84" s="47" t="s">
        <v>45</v>
      </c>
      <c r="D84" s="48">
        <v>45008</v>
      </c>
      <c r="E84" s="48">
        <v>45010</v>
      </c>
      <c r="F84" s="47"/>
      <c r="G84" s="48">
        <v>45036</v>
      </c>
      <c r="H84" s="48">
        <v>45037</v>
      </c>
      <c r="I84" s="54">
        <f t="shared" si="2"/>
        <v>0</v>
      </c>
      <c r="J84" s="1"/>
      <c r="K84" s="1"/>
      <c r="L84" s="1"/>
      <c r="M84" s="1"/>
      <c r="N84" s="1"/>
      <c r="O84" s="1"/>
      <c r="P84" s="1"/>
      <c r="Q84" s="1"/>
      <c r="R84" s="1"/>
      <c r="S84" s="1"/>
      <c r="T84" s="1"/>
      <c r="U84" s="1"/>
    </row>
    <row r="85" spans="1:21" ht="15.75" customHeight="1">
      <c r="A85" s="50">
        <v>84</v>
      </c>
      <c r="B85" s="50">
        <v>21446</v>
      </c>
      <c r="C85" s="51" t="s">
        <v>33</v>
      </c>
      <c r="D85" s="52">
        <v>44995</v>
      </c>
      <c r="E85" s="52">
        <v>44998</v>
      </c>
      <c r="F85" s="52">
        <v>45012</v>
      </c>
      <c r="G85" s="52">
        <v>45016</v>
      </c>
      <c r="H85" s="52">
        <v>45022</v>
      </c>
      <c r="I85" s="53">
        <f t="shared" si="2"/>
        <v>1</v>
      </c>
      <c r="J85" s="1"/>
      <c r="K85" s="1"/>
      <c r="L85" s="1"/>
      <c r="M85" s="1"/>
      <c r="N85" s="1"/>
      <c r="O85" s="1"/>
      <c r="P85" s="1"/>
      <c r="Q85" s="1"/>
      <c r="R85" s="1"/>
      <c r="S85" s="1"/>
      <c r="T85" s="1"/>
      <c r="U85" s="1"/>
    </row>
    <row r="86" spans="1:21" ht="15.75" customHeight="1">
      <c r="A86" s="46">
        <v>85</v>
      </c>
      <c r="B86" s="46">
        <v>27148</v>
      </c>
      <c r="C86" s="47" t="s">
        <v>33</v>
      </c>
      <c r="D86" s="48">
        <v>44950</v>
      </c>
      <c r="E86" s="48">
        <v>44953</v>
      </c>
      <c r="F86" s="48">
        <v>44956</v>
      </c>
      <c r="G86" s="48">
        <v>44960</v>
      </c>
      <c r="H86" s="48">
        <v>44967</v>
      </c>
      <c r="I86" s="54">
        <f t="shared" si="2"/>
        <v>1</v>
      </c>
      <c r="J86" s="1"/>
      <c r="K86" s="1"/>
      <c r="L86" s="1"/>
      <c r="M86" s="1"/>
      <c r="N86" s="1"/>
      <c r="O86" s="1"/>
      <c r="P86" s="1"/>
      <c r="Q86" s="1"/>
      <c r="R86" s="1"/>
      <c r="S86" s="1"/>
      <c r="T86" s="1"/>
      <c r="U86" s="1"/>
    </row>
    <row r="87" spans="1:21" ht="15.75" customHeight="1">
      <c r="A87" s="50">
        <v>86</v>
      </c>
      <c r="B87" s="50">
        <v>16372</v>
      </c>
      <c r="C87" s="51" t="s">
        <v>32</v>
      </c>
      <c r="D87" s="52">
        <v>44970</v>
      </c>
      <c r="E87" s="52">
        <v>44973</v>
      </c>
      <c r="F87" s="52">
        <v>44995</v>
      </c>
      <c r="G87" s="51"/>
      <c r="H87" s="51"/>
      <c r="I87" s="53">
        <f t="shared" si="2"/>
        <v>1</v>
      </c>
      <c r="J87" s="1"/>
      <c r="K87" s="1"/>
      <c r="L87" s="1"/>
      <c r="M87" s="1"/>
      <c r="N87" s="1"/>
      <c r="O87" s="1"/>
      <c r="P87" s="1"/>
      <c r="Q87" s="1"/>
      <c r="R87" s="1"/>
      <c r="S87" s="1"/>
      <c r="T87" s="1"/>
      <c r="U87" s="1"/>
    </row>
    <row r="88" spans="1:21" ht="15.75" customHeight="1">
      <c r="A88" s="46">
        <v>87</v>
      </c>
      <c r="B88" s="46">
        <v>28015</v>
      </c>
      <c r="C88" s="47" t="s">
        <v>32</v>
      </c>
      <c r="D88" s="48">
        <v>45041</v>
      </c>
      <c r="E88" s="48">
        <v>45045</v>
      </c>
      <c r="F88" s="48">
        <v>45052</v>
      </c>
      <c r="G88" s="47"/>
      <c r="H88" s="47"/>
      <c r="I88" s="54">
        <f t="shared" si="2"/>
        <v>1</v>
      </c>
      <c r="J88" s="1"/>
      <c r="K88" s="1"/>
      <c r="L88" s="1"/>
      <c r="M88" s="1"/>
      <c r="N88" s="1"/>
      <c r="O88" s="1"/>
      <c r="P88" s="1"/>
      <c r="Q88" s="1"/>
      <c r="R88" s="1"/>
      <c r="S88" s="1"/>
      <c r="T88" s="1"/>
      <c r="U88" s="1"/>
    </row>
    <row r="89" spans="1:21" ht="15.75" customHeight="1">
      <c r="A89" s="50">
        <v>88</v>
      </c>
      <c r="B89" s="50">
        <v>24568</v>
      </c>
      <c r="C89" s="51" t="s">
        <v>32</v>
      </c>
      <c r="D89" s="52">
        <v>45038</v>
      </c>
      <c r="E89" s="52">
        <v>45038</v>
      </c>
      <c r="F89" s="52">
        <v>45053</v>
      </c>
      <c r="G89" s="51"/>
      <c r="H89" s="51"/>
      <c r="I89" s="53">
        <f t="shared" si="2"/>
        <v>1</v>
      </c>
      <c r="J89" s="1"/>
      <c r="K89" s="1"/>
      <c r="L89" s="1"/>
      <c r="M89" s="1"/>
      <c r="N89" s="1"/>
      <c r="O89" s="1"/>
      <c r="P89" s="1"/>
      <c r="Q89" s="1"/>
      <c r="R89" s="1"/>
      <c r="S89" s="1"/>
      <c r="T89" s="1"/>
      <c r="U89" s="1"/>
    </row>
    <row r="90" spans="1:21" ht="15.75" customHeight="1">
      <c r="A90" s="46">
        <v>89</v>
      </c>
      <c r="B90" s="46">
        <v>20801</v>
      </c>
      <c r="C90" s="47" t="s">
        <v>32</v>
      </c>
      <c r="D90" s="48">
        <v>45025</v>
      </c>
      <c r="E90" s="48">
        <v>45027</v>
      </c>
      <c r="F90" s="48">
        <v>45052</v>
      </c>
      <c r="G90" s="47"/>
      <c r="H90" s="47"/>
      <c r="I90" s="54">
        <f t="shared" si="2"/>
        <v>1</v>
      </c>
      <c r="J90" s="1"/>
      <c r="K90" s="1"/>
      <c r="L90" s="1"/>
      <c r="M90" s="1"/>
      <c r="N90" s="1"/>
      <c r="O90" s="1"/>
      <c r="P90" s="1"/>
      <c r="Q90" s="1"/>
      <c r="R90" s="1"/>
      <c r="S90" s="1"/>
      <c r="T90" s="1"/>
      <c r="U90" s="1"/>
    </row>
    <row r="91" spans="1:21" ht="15.75" customHeight="1">
      <c r="A91" s="50">
        <v>90</v>
      </c>
      <c r="B91" s="50">
        <v>24423</v>
      </c>
      <c r="C91" s="51" t="s">
        <v>49</v>
      </c>
      <c r="D91" s="52">
        <v>44929</v>
      </c>
      <c r="E91" s="52">
        <v>44932</v>
      </c>
      <c r="F91" s="51"/>
      <c r="G91" s="51"/>
      <c r="H91" s="51"/>
      <c r="I91" s="53">
        <f t="shared" si="2"/>
        <v>0</v>
      </c>
      <c r="J91" s="1"/>
      <c r="K91" s="1"/>
      <c r="L91" s="1"/>
      <c r="M91" s="1"/>
      <c r="N91" s="1"/>
      <c r="O91" s="1"/>
      <c r="P91" s="1"/>
      <c r="Q91" s="1"/>
      <c r="R91" s="1"/>
      <c r="S91" s="1"/>
      <c r="T91" s="1"/>
      <c r="U91" s="1"/>
    </row>
    <row r="92" spans="1:21" ht="15.75" customHeight="1">
      <c r="A92" s="46">
        <v>91</v>
      </c>
      <c r="B92" s="46">
        <v>16376</v>
      </c>
      <c r="C92" s="47" t="s">
        <v>32</v>
      </c>
      <c r="D92" s="48">
        <v>44993</v>
      </c>
      <c r="E92" s="48">
        <v>44993</v>
      </c>
      <c r="F92" s="48">
        <v>45006</v>
      </c>
      <c r="G92" s="47"/>
      <c r="H92" s="47"/>
      <c r="I92" s="54">
        <f t="shared" si="2"/>
        <v>1</v>
      </c>
      <c r="J92" s="1"/>
      <c r="K92" s="1"/>
      <c r="L92" s="1"/>
      <c r="M92" s="1"/>
      <c r="N92" s="1"/>
      <c r="O92" s="1"/>
      <c r="P92" s="1"/>
      <c r="Q92" s="1"/>
      <c r="R92" s="1"/>
      <c r="S92" s="1"/>
      <c r="T92" s="1"/>
      <c r="U92" s="1"/>
    </row>
    <row r="93" spans="1:21" ht="15.75" customHeight="1">
      <c r="A93" s="50">
        <v>92</v>
      </c>
      <c r="B93" s="50">
        <v>25488</v>
      </c>
      <c r="C93" s="51" t="s">
        <v>33</v>
      </c>
      <c r="D93" s="52">
        <v>45068</v>
      </c>
      <c r="E93" s="52">
        <v>45072</v>
      </c>
      <c r="F93" s="52">
        <v>45075</v>
      </c>
      <c r="G93" s="51"/>
      <c r="H93" s="51"/>
      <c r="I93" s="53">
        <f t="shared" si="2"/>
        <v>1</v>
      </c>
      <c r="J93" s="1"/>
      <c r="K93" s="1"/>
      <c r="L93" s="1"/>
      <c r="M93" s="1"/>
      <c r="N93" s="1"/>
      <c r="O93" s="1"/>
      <c r="P93" s="1"/>
      <c r="Q93" s="1"/>
      <c r="R93" s="1"/>
      <c r="S93" s="1"/>
      <c r="T93" s="1"/>
      <c r="U93" s="1"/>
    </row>
    <row r="94" spans="1:21" ht="15.75" customHeight="1">
      <c r="A94" s="46">
        <v>93</v>
      </c>
      <c r="B94" s="46">
        <v>13734</v>
      </c>
      <c r="C94" s="47" t="s">
        <v>33</v>
      </c>
      <c r="D94" s="48">
        <v>44998</v>
      </c>
      <c r="E94" s="48">
        <v>45001</v>
      </c>
      <c r="F94" s="48">
        <v>45008</v>
      </c>
      <c r="G94" s="47"/>
      <c r="H94" s="47"/>
      <c r="I94" s="54">
        <f t="shared" si="2"/>
        <v>1</v>
      </c>
      <c r="J94" s="1"/>
      <c r="K94" s="1"/>
      <c r="L94" s="1"/>
      <c r="M94" s="1"/>
      <c r="N94" s="1"/>
      <c r="O94" s="1"/>
      <c r="P94" s="1"/>
      <c r="Q94" s="1"/>
      <c r="R94" s="1"/>
      <c r="S94" s="1"/>
      <c r="T94" s="1"/>
      <c r="U94" s="1"/>
    </row>
    <row r="95" spans="1:21" ht="15.75" customHeight="1">
      <c r="A95" s="50">
        <v>94</v>
      </c>
      <c r="B95" s="50">
        <v>11621</v>
      </c>
      <c r="C95" s="51" t="s">
        <v>33</v>
      </c>
      <c r="D95" s="52">
        <v>44930</v>
      </c>
      <c r="E95" s="52">
        <v>44933</v>
      </c>
      <c r="F95" s="52">
        <v>44946</v>
      </c>
      <c r="G95" s="51"/>
      <c r="H95" s="51"/>
      <c r="I95" s="53">
        <f t="shared" si="2"/>
        <v>1</v>
      </c>
      <c r="J95" s="1"/>
      <c r="K95" s="1"/>
      <c r="L95" s="1"/>
      <c r="M95" s="1"/>
      <c r="N95" s="1"/>
      <c r="O95" s="1"/>
      <c r="P95" s="1"/>
      <c r="Q95" s="1"/>
      <c r="R95" s="1"/>
      <c r="S95" s="1"/>
      <c r="T95" s="1"/>
      <c r="U95" s="1"/>
    </row>
    <row r="96" spans="1:21" ht="15.75" customHeight="1">
      <c r="A96" s="46">
        <v>95</v>
      </c>
      <c r="B96" s="46">
        <v>18850</v>
      </c>
      <c r="C96" s="47" t="s">
        <v>32</v>
      </c>
      <c r="D96" s="48">
        <v>44955</v>
      </c>
      <c r="E96" s="48">
        <v>44955</v>
      </c>
      <c r="F96" s="47"/>
      <c r="G96" s="47"/>
      <c r="H96" s="47"/>
      <c r="I96" s="54">
        <f t="shared" si="2"/>
        <v>0</v>
      </c>
      <c r="J96" s="1"/>
      <c r="K96" s="1"/>
      <c r="L96" s="1"/>
      <c r="M96" s="1"/>
      <c r="N96" s="1"/>
      <c r="O96" s="1"/>
      <c r="P96" s="1"/>
      <c r="Q96" s="1"/>
      <c r="R96" s="1"/>
      <c r="S96" s="1"/>
      <c r="T96" s="1"/>
      <c r="U96" s="1"/>
    </row>
    <row r="97" spans="1:21" ht="15.75" customHeight="1">
      <c r="A97" s="50">
        <v>96</v>
      </c>
      <c r="B97" s="50">
        <v>25324</v>
      </c>
      <c r="C97" s="51" t="s">
        <v>32</v>
      </c>
      <c r="D97" s="52">
        <v>45073</v>
      </c>
      <c r="E97" s="52">
        <v>45077</v>
      </c>
      <c r="F97" s="52">
        <v>45092</v>
      </c>
      <c r="G97" s="51"/>
      <c r="H97" s="51"/>
      <c r="I97" s="53">
        <f t="shared" si="2"/>
        <v>1</v>
      </c>
      <c r="J97" s="1"/>
      <c r="K97" s="1"/>
      <c r="L97" s="1"/>
      <c r="M97" s="1"/>
      <c r="N97" s="1"/>
      <c r="O97" s="1"/>
      <c r="P97" s="1"/>
      <c r="Q97" s="1"/>
      <c r="R97" s="1"/>
      <c r="S97" s="1"/>
      <c r="T97" s="1"/>
      <c r="U97" s="1"/>
    </row>
    <row r="98" spans="1:21" ht="15.75" customHeight="1">
      <c r="A98" s="46">
        <v>97</v>
      </c>
      <c r="B98" s="46">
        <v>12031</v>
      </c>
      <c r="C98" s="47" t="s">
        <v>33</v>
      </c>
      <c r="D98" s="48">
        <v>45011</v>
      </c>
      <c r="E98" s="48">
        <v>45012</v>
      </c>
      <c r="F98" s="48">
        <v>45029</v>
      </c>
      <c r="G98" s="47"/>
      <c r="H98" s="47"/>
      <c r="I98" s="54">
        <f t="shared" si="2"/>
        <v>1</v>
      </c>
      <c r="J98" s="1"/>
      <c r="K98" s="1"/>
      <c r="L98" s="1"/>
      <c r="M98" s="1"/>
      <c r="N98" s="1"/>
      <c r="O98" s="1"/>
      <c r="P98" s="1"/>
      <c r="Q98" s="1"/>
      <c r="R98" s="1"/>
      <c r="S98" s="1"/>
      <c r="T98" s="1"/>
      <c r="U98" s="1"/>
    </row>
    <row r="99" spans="1:21" ht="15.75" customHeight="1">
      <c r="A99" s="50">
        <v>98</v>
      </c>
      <c r="B99" s="50">
        <v>22403</v>
      </c>
      <c r="C99" s="51" t="s">
        <v>32</v>
      </c>
      <c r="D99" s="52">
        <v>44943</v>
      </c>
      <c r="E99" s="52">
        <v>44944</v>
      </c>
      <c r="F99" s="52">
        <v>44954</v>
      </c>
      <c r="G99" s="51"/>
      <c r="H99" s="51"/>
      <c r="I99" s="53">
        <f t="shared" si="2"/>
        <v>1</v>
      </c>
      <c r="J99" s="1"/>
      <c r="K99" s="1"/>
      <c r="L99" s="1"/>
      <c r="M99" s="1"/>
      <c r="N99" s="1"/>
      <c r="O99" s="1"/>
      <c r="P99" s="1"/>
      <c r="Q99" s="1"/>
      <c r="R99" s="1"/>
      <c r="S99" s="1"/>
      <c r="T99" s="1"/>
      <c r="U99" s="1"/>
    </row>
    <row r="100" spans="1:21" ht="15.75" customHeight="1">
      <c r="A100" s="46">
        <v>99</v>
      </c>
      <c r="B100" s="46">
        <v>28681</v>
      </c>
      <c r="C100" s="47" t="s">
        <v>33</v>
      </c>
      <c r="D100" s="48">
        <v>45057</v>
      </c>
      <c r="E100" s="48">
        <v>45063</v>
      </c>
      <c r="F100" s="48">
        <v>45080</v>
      </c>
      <c r="G100" s="47"/>
      <c r="H100" s="47"/>
      <c r="I100" s="54">
        <f t="shared" si="2"/>
        <v>1</v>
      </c>
      <c r="J100" s="1"/>
      <c r="K100" s="1"/>
      <c r="L100" s="1"/>
      <c r="M100" s="1"/>
      <c r="N100" s="1"/>
      <c r="O100" s="1"/>
      <c r="P100" s="1"/>
      <c r="Q100" s="1"/>
      <c r="R100" s="1"/>
      <c r="S100" s="1"/>
      <c r="T100" s="1"/>
      <c r="U100" s="1"/>
    </row>
    <row r="101" spans="1:21" ht="15.75" customHeight="1">
      <c r="A101" s="50">
        <v>100</v>
      </c>
      <c r="B101" s="50">
        <v>15558</v>
      </c>
      <c r="C101" s="51" t="s">
        <v>32</v>
      </c>
      <c r="D101" s="52">
        <v>44952</v>
      </c>
      <c r="E101" s="52">
        <v>44954</v>
      </c>
      <c r="F101" s="52">
        <v>44965</v>
      </c>
      <c r="G101" s="51"/>
      <c r="H101" s="51"/>
      <c r="I101" s="53">
        <f t="shared" si="2"/>
        <v>1</v>
      </c>
      <c r="J101" s="1"/>
      <c r="K101" s="1"/>
      <c r="L101" s="1"/>
      <c r="M101" s="1"/>
      <c r="N101" s="1"/>
      <c r="O101" s="1"/>
      <c r="P101" s="1"/>
      <c r="Q101" s="1"/>
      <c r="R101" s="1"/>
      <c r="S101" s="1"/>
      <c r="T101" s="1"/>
      <c r="U101" s="1"/>
    </row>
    <row r="102" spans="1:21" ht="15.75" customHeight="1">
      <c r="A102" s="46">
        <v>101</v>
      </c>
      <c r="B102" s="46">
        <v>13579</v>
      </c>
      <c r="C102" s="47" t="s">
        <v>33</v>
      </c>
      <c r="D102" s="48">
        <v>44988</v>
      </c>
      <c r="E102" s="48">
        <v>44989</v>
      </c>
      <c r="F102" s="48">
        <v>45008</v>
      </c>
      <c r="G102" s="47"/>
      <c r="H102" s="47"/>
      <c r="I102" s="54">
        <f t="shared" si="2"/>
        <v>1</v>
      </c>
      <c r="J102" s="1"/>
      <c r="K102" s="1"/>
      <c r="L102" s="1"/>
      <c r="M102" s="1"/>
      <c r="N102" s="1"/>
      <c r="O102" s="1"/>
      <c r="P102" s="1"/>
      <c r="Q102" s="1"/>
      <c r="R102" s="1"/>
      <c r="S102" s="1"/>
      <c r="T102" s="1"/>
      <c r="U102" s="1"/>
    </row>
    <row r="103" spans="1:21" ht="15.75" customHeight="1">
      <c r="A103" s="50">
        <v>102</v>
      </c>
      <c r="B103" s="50">
        <v>28214</v>
      </c>
      <c r="C103" s="51" t="s">
        <v>31</v>
      </c>
      <c r="D103" s="52">
        <v>45005</v>
      </c>
      <c r="E103" s="52">
        <v>45010</v>
      </c>
      <c r="F103" s="52">
        <v>45032</v>
      </c>
      <c r="G103" s="51"/>
      <c r="H103" s="51"/>
      <c r="I103" s="53">
        <f t="shared" si="2"/>
        <v>1</v>
      </c>
      <c r="J103" s="1"/>
      <c r="K103" s="1"/>
      <c r="L103" s="1"/>
      <c r="M103" s="1"/>
      <c r="N103" s="1"/>
      <c r="O103" s="1"/>
      <c r="P103" s="1"/>
      <c r="Q103" s="1"/>
      <c r="R103" s="1"/>
      <c r="S103" s="1"/>
      <c r="T103" s="1"/>
      <c r="U103" s="1"/>
    </row>
    <row r="104" spans="1:21" ht="15.75" customHeight="1">
      <c r="A104" s="46">
        <v>103</v>
      </c>
      <c r="B104" s="46">
        <v>27845</v>
      </c>
      <c r="C104" s="47" t="s">
        <v>49</v>
      </c>
      <c r="D104" s="48">
        <v>44963</v>
      </c>
      <c r="E104" s="48">
        <v>44964</v>
      </c>
      <c r="F104" s="48">
        <v>44964</v>
      </c>
      <c r="G104" s="47"/>
      <c r="H104" s="47"/>
      <c r="I104" s="54">
        <f t="shared" si="2"/>
        <v>1</v>
      </c>
      <c r="J104" s="1"/>
      <c r="K104" s="1"/>
      <c r="L104" s="1"/>
      <c r="M104" s="1"/>
      <c r="N104" s="1"/>
      <c r="O104" s="1"/>
      <c r="P104" s="1"/>
      <c r="Q104" s="1"/>
      <c r="R104" s="1"/>
      <c r="S104" s="1"/>
      <c r="T104" s="1"/>
      <c r="U104" s="1"/>
    </row>
    <row r="105" spans="1:21" ht="15.75" customHeight="1">
      <c r="A105" s="50">
        <v>104</v>
      </c>
      <c r="B105" s="50">
        <v>22338</v>
      </c>
      <c r="C105" s="51" t="s">
        <v>31</v>
      </c>
      <c r="D105" s="52">
        <v>45030</v>
      </c>
      <c r="E105" s="52">
        <v>45031</v>
      </c>
      <c r="F105" s="51"/>
      <c r="G105" s="51"/>
      <c r="H105" s="51"/>
      <c r="I105" s="53">
        <f t="shared" si="2"/>
        <v>0</v>
      </c>
      <c r="J105" s="1"/>
      <c r="K105" s="1"/>
      <c r="L105" s="1"/>
      <c r="M105" s="1"/>
      <c r="N105" s="1"/>
      <c r="O105" s="1"/>
      <c r="P105" s="1"/>
      <c r="Q105" s="1"/>
      <c r="R105" s="1"/>
      <c r="S105" s="1"/>
      <c r="T105" s="1"/>
      <c r="U105" s="1"/>
    </row>
    <row r="106" spans="1:21" ht="15.75" customHeight="1">
      <c r="A106" s="46">
        <v>105</v>
      </c>
      <c r="B106" s="46">
        <v>17847</v>
      </c>
      <c r="C106" s="47" t="s">
        <v>49</v>
      </c>
      <c r="D106" s="48">
        <v>44977</v>
      </c>
      <c r="E106" s="48">
        <v>44982</v>
      </c>
      <c r="F106" s="48">
        <v>44990</v>
      </c>
      <c r="G106" s="47"/>
      <c r="H106" s="47"/>
      <c r="I106" s="54">
        <f t="shared" si="2"/>
        <v>1</v>
      </c>
      <c r="J106" s="1"/>
      <c r="K106" s="1"/>
      <c r="L106" s="1"/>
      <c r="M106" s="1"/>
      <c r="N106" s="1"/>
      <c r="O106" s="1"/>
      <c r="P106" s="1"/>
      <c r="Q106" s="1"/>
      <c r="R106" s="1"/>
      <c r="S106" s="1"/>
      <c r="T106" s="1"/>
      <c r="U106" s="1"/>
    </row>
    <row r="107" spans="1:21" ht="15.75" customHeight="1">
      <c r="A107" s="50">
        <v>106</v>
      </c>
      <c r="B107" s="50">
        <v>16239</v>
      </c>
      <c r="C107" s="51" t="s">
        <v>33</v>
      </c>
      <c r="D107" s="52">
        <v>44931</v>
      </c>
      <c r="E107" s="52">
        <v>44934</v>
      </c>
      <c r="F107" s="52">
        <v>44948</v>
      </c>
      <c r="G107" s="51"/>
      <c r="H107" s="51"/>
      <c r="I107" s="53">
        <f t="shared" si="2"/>
        <v>1</v>
      </c>
      <c r="J107" s="1"/>
      <c r="K107" s="1"/>
      <c r="L107" s="1"/>
      <c r="M107" s="1"/>
      <c r="N107" s="1"/>
      <c r="O107" s="1"/>
      <c r="P107" s="1"/>
      <c r="Q107" s="1"/>
      <c r="R107" s="1"/>
      <c r="S107" s="1"/>
      <c r="T107" s="1"/>
      <c r="U107" s="1"/>
    </row>
    <row r="108" spans="1:21" ht="15.75" customHeight="1">
      <c r="A108" s="46">
        <v>107</v>
      </c>
      <c r="B108" s="46">
        <v>27642</v>
      </c>
      <c r="C108" s="47" t="s">
        <v>32</v>
      </c>
      <c r="D108" s="48">
        <v>44971</v>
      </c>
      <c r="E108" s="48">
        <v>44977</v>
      </c>
      <c r="F108" s="48">
        <v>44987</v>
      </c>
      <c r="G108" s="47"/>
      <c r="H108" s="47"/>
      <c r="I108" s="54">
        <f t="shared" si="2"/>
        <v>1</v>
      </c>
      <c r="J108" s="1"/>
      <c r="K108" s="1"/>
      <c r="L108" s="1"/>
      <c r="M108" s="1"/>
      <c r="N108" s="1"/>
      <c r="O108" s="1"/>
      <c r="P108" s="1"/>
      <c r="Q108" s="1"/>
      <c r="R108" s="1"/>
      <c r="S108" s="1"/>
      <c r="T108" s="1"/>
      <c r="U108" s="1"/>
    </row>
    <row r="109" spans="1:21" ht="15.75" customHeight="1">
      <c r="A109" s="50">
        <v>108</v>
      </c>
      <c r="B109" s="50">
        <v>23129</v>
      </c>
      <c r="C109" s="51" t="s">
        <v>32</v>
      </c>
      <c r="D109" s="52">
        <v>44969</v>
      </c>
      <c r="E109" s="52">
        <v>44970</v>
      </c>
      <c r="F109" s="52">
        <v>44972</v>
      </c>
      <c r="G109" s="52">
        <v>45000</v>
      </c>
      <c r="H109" s="52">
        <v>45006</v>
      </c>
      <c r="I109" s="53">
        <f t="shared" si="2"/>
        <v>1</v>
      </c>
      <c r="J109" s="1"/>
      <c r="K109" s="1"/>
      <c r="L109" s="1"/>
      <c r="M109" s="1"/>
      <c r="N109" s="1"/>
      <c r="O109" s="1"/>
      <c r="P109" s="1"/>
      <c r="Q109" s="1"/>
      <c r="R109" s="1"/>
      <c r="S109" s="1"/>
      <c r="T109" s="1"/>
      <c r="U109" s="1"/>
    </row>
    <row r="110" spans="1:21" ht="15.75" customHeight="1">
      <c r="A110" s="46">
        <v>109</v>
      </c>
      <c r="B110" s="46">
        <v>14066</v>
      </c>
      <c r="C110" s="47" t="s">
        <v>31</v>
      </c>
      <c r="D110" s="48">
        <v>45041</v>
      </c>
      <c r="E110" s="48">
        <v>45044</v>
      </c>
      <c r="F110" s="48">
        <v>45064</v>
      </c>
      <c r="G110" s="47"/>
      <c r="H110" s="47"/>
      <c r="I110" s="54">
        <f t="shared" si="2"/>
        <v>1</v>
      </c>
      <c r="J110" s="1"/>
      <c r="K110" s="1"/>
      <c r="L110" s="1"/>
      <c r="M110" s="1"/>
      <c r="N110" s="1"/>
      <c r="O110" s="1"/>
      <c r="P110" s="1"/>
      <c r="Q110" s="1"/>
      <c r="R110" s="1"/>
      <c r="S110" s="1"/>
      <c r="T110" s="1"/>
      <c r="U110" s="1"/>
    </row>
    <row r="111" spans="1:21" ht="15.75" customHeight="1">
      <c r="A111" s="50">
        <v>110</v>
      </c>
      <c r="B111" s="50">
        <v>23237</v>
      </c>
      <c r="C111" s="51" t="s">
        <v>49</v>
      </c>
      <c r="D111" s="52">
        <v>44957</v>
      </c>
      <c r="E111" s="52">
        <v>44960</v>
      </c>
      <c r="F111" s="51"/>
      <c r="G111" s="51"/>
      <c r="H111" s="51"/>
      <c r="I111" s="53">
        <f t="shared" si="2"/>
        <v>0</v>
      </c>
      <c r="J111" s="1"/>
      <c r="K111" s="1"/>
      <c r="L111" s="1"/>
      <c r="M111" s="1"/>
      <c r="N111" s="1"/>
      <c r="O111" s="1"/>
      <c r="P111" s="1"/>
      <c r="Q111" s="1"/>
      <c r="R111" s="1"/>
      <c r="S111" s="1"/>
      <c r="T111" s="1"/>
      <c r="U111" s="1"/>
    </row>
    <row r="112" spans="1:21" ht="15.75" customHeight="1">
      <c r="A112" s="46">
        <v>111</v>
      </c>
      <c r="B112" s="46">
        <v>23857</v>
      </c>
      <c r="C112" s="47" t="s">
        <v>45</v>
      </c>
      <c r="D112" s="48">
        <v>44999</v>
      </c>
      <c r="E112" s="48">
        <v>45002</v>
      </c>
      <c r="F112" s="48">
        <v>45012</v>
      </c>
      <c r="G112" s="48">
        <v>45016</v>
      </c>
      <c r="H112" s="48">
        <v>45021</v>
      </c>
      <c r="I112" s="54">
        <f t="shared" si="2"/>
        <v>1</v>
      </c>
      <c r="J112" s="1"/>
      <c r="K112" s="1"/>
      <c r="L112" s="1"/>
      <c r="M112" s="1"/>
      <c r="N112" s="1"/>
      <c r="O112" s="1"/>
      <c r="P112" s="1"/>
      <c r="Q112" s="1"/>
      <c r="R112" s="1"/>
      <c r="S112" s="1"/>
      <c r="T112" s="1"/>
      <c r="U112" s="1"/>
    </row>
    <row r="113" spans="1:21" ht="15.75" customHeight="1">
      <c r="A113" s="50">
        <v>112</v>
      </c>
      <c r="B113" s="50">
        <v>13034</v>
      </c>
      <c r="C113" s="51" t="s">
        <v>32</v>
      </c>
      <c r="D113" s="52">
        <v>45052</v>
      </c>
      <c r="E113" s="52">
        <v>45058</v>
      </c>
      <c r="F113" s="51"/>
      <c r="G113" s="52">
        <v>45075</v>
      </c>
      <c r="H113" s="52">
        <v>45082</v>
      </c>
      <c r="I113" s="53">
        <f t="shared" si="2"/>
        <v>0</v>
      </c>
      <c r="J113" s="1"/>
      <c r="K113" s="1"/>
      <c r="L113" s="1"/>
      <c r="M113" s="1"/>
      <c r="N113" s="1"/>
      <c r="O113" s="1"/>
      <c r="P113" s="1"/>
      <c r="Q113" s="1"/>
      <c r="R113" s="1"/>
      <c r="S113" s="1"/>
      <c r="T113" s="1"/>
      <c r="U113" s="1"/>
    </row>
    <row r="114" spans="1:21" ht="15.75" customHeight="1">
      <c r="A114" s="46">
        <v>113</v>
      </c>
      <c r="B114" s="46">
        <v>22854</v>
      </c>
      <c r="C114" s="47" t="s">
        <v>32</v>
      </c>
      <c r="D114" s="48">
        <v>45075</v>
      </c>
      <c r="E114" s="48">
        <v>45078</v>
      </c>
      <c r="F114" s="48">
        <v>45099</v>
      </c>
      <c r="G114" s="47"/>
      <c r="H114" s="47"/>
      <c r="I114" s="54">
        <f t="shared" si="2"/>
        <v>1</v>
      </c>
      <c r="J114" s="1"/>
      <c r="K114" s="1"/>
      <c r="L114" s="1"/>
      <c r="M114" s="1"/>
      <c r="N114" s="1"/>
      <c r="O114" s="1"/>
      <c r="P114" s="1"/>
      <c r="Q114" s="1"/>
      <c r="R114" s="1"/>
      <c r="S114" s="1"/>
      <c r="T114" s="1"/>
      <c r="U114" s="1"/>
    </row>
    <row r="115" spans="1:21" ht="15.75" customHeight="1">
      <c r="A115" s="50">
        <v>114</v>
      </c>
      <c r="B115" s="50">
        <v>28465</v>
      </c>
      <c r="C115" s="51" t="s">
        <v>33</v>
      </c>
      <c r="D115" s="52">
        <v>44970</v>
      </c>
      <c r="E115" s="52">
        <v>44976</v>
      </c>
      <c r="F115" s="52">
        <v>44990</v>
      </c>
      <c r="G115" s="51"/>
      <c r="H115" s="51"/>
      <c r="I115" s="53">
        <f t="shared" si="2"/>
        <v>1</v>
      </c>
      <c r="J115" s="1"/>
      <c r="K115" s="1"/>
      <c r="L115" s="1"/>
      <c r="M115" s="1"/>
      <c r="N115" s="1"/>
      <c r="O115" s="1"/>
      <c r="P115" s="1"/>
      <c r="Q115" s="1"/>
      <c r="R115" s="1"/>
      <c r="S115" s="1"/>
      <c r="T115" s="1"/>
      <c r="U115" s="1"/>
    </row>
    <row r="116" spans="1:21" ht="15.75" customHeight="1">
      <c r="A116" s="46">
        <v>115</v>
      </c>
      <c r="B116" s="46">
        <v>16495</v>
      </c>
      <c r="C116" s="47" t="s">
        <v>32</v>
      </c>
      <c r="D116" s="48">
        <v>45061</v>
      </c>
      <c r="E116" s="48">
        <v>45065</v>
      </c>
      <c r="F116" s="48">
        <v>45076</v>
      </c>
      <c r="G116" s="47"/>
      <c r="H116" s="47"/>
      <c r="I116" s="54">
        <f t="shared" si="2"/>
        <v>1</v>
      </c>
      <c r="J116" s="1"/>
      <c r="K116" s="1"/>
      <c r="L116" s="1"/>
      <c r="M116" s="1"/>
      <c r="N116" s="1"/>
      <c r="O116" s="1"/>
      <c r="P116" s="1"/>
      <c r="Q116" s="1"/>
      <c r="R116" s="1"/>
      <c r="S116" s="1"/>
      <c r="T116" s="1"/>
      <c r="U116" s="1"/>
    </row>
    <row r="117" spans="1:21" ht="15.75" customHeight="1">
      <c r="A117" s="50">
        <v>116</v>
      </c>
      <c r="B117" s="50">
        <v>18163</v>
      </c>
      <c r="C117" s="51" t="s">
        <v>31</v>
      </c>
      <c r="D117" s="52">
        <v>44954</v>
      </c>
      <c r="E117" s="52">
        <v>44957</v>
      </c>
      <c r="F117" s="51"/>
      <c r="G117" s="51"/>
      <c r="H117" s="51"/>
      <c r="I117" s="53">
        <f t="shared" si="2"/>
        <v>0</v>
      </c>
      <c r="J117" s="1"/>
      <c r="K117" s="1"/>
      <c r="L117" s="1"/>
      <c r="M117" s="1"/>
      <c r="N117" s="1"/>
      <c r="O117" s="1"/>
      <c r="P117" s="1"/>
      <c r="Q117" s="1"/>
      <c r="R117" s="1"/>
      <c r="S117" s="1"/>
      <c r="T117" s="1"/>
      <c r="U117" s="1"/>
    </row>
    <row r="118" spans="1:21" ht="15.75" customHeight="1">
      <c r="A118" s="46">
        <v>117</v>
      </c>
      <c r="B118" s="46">
        <v>26468</v>
      </c>
      <c r="C118" s="47" t="s">
        <v>49</v>
      </c>
      <c r="D118" s="48">
        <v>45060</v>
      </c>
      <c r="E118" s="48">
        <v>45066</v>
      </c>
      <c r="F118" s="48">
        <v>45075</v>
      </c>
      <c r="G118" s="47"/>
      <c r="H118" s="47"/>
      <c r="I118" s="54">
        <f t="shared" si="2"/>
        <v>1</v>
      </c>
      <c r="J118" s="1"/>
      <c r="K118" s="1"/>
      <c r="L118" s="1"/>
      <c r="M118" s="1"/>
      <c r="N118" s="1"/>
      <c r="O118" s="1"/>
      <c r="P118" s="1"/>
      <c r="Q118" s="1"/>
      <c r="R118" s="1"/>
      <c r="S118" s="1"/>
      <c r="T118" s="1"/>
      <c r="U118" s="1"/>
    </row>
    <row r="119" spans="1:21" ht="15.75" customHeight="1">
      <c r="A119" s="50">
        <v>118</v>
      </c>
      <c r="B119" s="50">
        <v>28242</v>
      </c>
      <c r="C119" s="51" t="s">
        <v>45</v>
      </c>
      <c r="D119" s="52">
        <v>44932</v>
      </c>
      <c r="E119" s="52">
        <v>44937</v>
      </c>
      <c r="F119" s="52">
        <v>44951</v>
      </c>
      <c r="G119" s="51"/>
      <c r="H119" s="51"/>
      <c r="I119" s="53">
        <f t="shared" si="2"/>
        <v>1</v>
      </c>
      <c r="J119" s="1"/>
      <c r="K119" s="1"/>
      <c r="L119" s="1"/>
      <c r="M119" s="1"/>
      <c r="N119" s="1"/>
      <c r="O119" s="1"/>
      <c r="P119" s="1"/>
      <c r="Q119" s="1"/>
      <c r="R119" s="1"/>
      <c r="S119" s="1"/>
      <c r="T119" s="1"/>
      <c r="U119" s="1"/>
    </row>
    <row r="120" spans="1:21" ht="15.75" customHeight="1">
      <c r="A120" s="46">
        <v>119</v>
      </c>
      <c r="B120" s="46">
        <v>15375</v>
      </c>
      <c r="C120" s="47" t="s">
        <v>32</v>
      </c>
      <c r="D120" s="48">
        <v>44982</v>
      </c>
      <c r="E120" s="48">
        <v>44987</v>
      </c>
      <c r="F120" s="48">
        <v>44990</v>
      </c>
      <c r="G120" s="47"/>
      <c r="H120" s="47"/>
      <c r="I120" s="54">
        <f t="shared" si="2"/>
        <v>1</v>
      </c>
      <c r="J120" s="1"/>
      <c r="K120" s="1"/>
      <c r="L120" s="1"/>
      <c r="M120" s="1"/>
      <c r="N120" s="1"/>
      <c r="O120" s="1"/>
      <c r="P120" s="1"/>
      <c r="Q120" s="1"/>
      <c r="R120" s="1"/>
      <c r="S120" s="1"/>
      <c r="T120" s="1"/>
      <c r="U120" s="1"/>
    </row>
    <row r="121" spans="1:21" ht="15.75" customHeight="1">
      <c r="A121" s="50">
        <v>120</v>
      </c>
      <c r="B121" s="50">
        <v>15198</v>
      </c>
      <c r="C121" s="51" t="s">
        <v>45</v>
      </c>
      <c r="D121" s="52">
        <v>44999</v>
      </c>
      <c r="E121" s="52">
        <v>45004</v>
      </c>
      <c r="F121" s="52">
        <v>45017</v>
      </c>
      <c r="G121" s="51"/>
      <c r="H121" s="51"/>
      <c r="I121" s="53">
        <f t="shared" si="2"/>
        <v>1</v>
      </c>
      <c r="J121" s="1"/>
      <c r="K121" s="1"/>
      <c r="L121" s="1"/>
      <c r="M121" s="1"/>
      <c r="N121" s="1"/>
      <c r="O121" s="1"/>
      <c r="P121" s="1"/>
      <c r="Q121" s="1"/>
      <c r="R121" s="1"/>
      <c r="S121" s="1"/>
      <c r="T121" s="1"/>
      <c r="U121" s="1"/>
    </row>
    <row r="122" spans="1:21" ht="15.75" customHeight="1">
      <c r="A122" s="46">
        <v>121</v>
      </c>
      <c r="B122" s="46">
        <v>21289</v>
      </c>
      <c r="C122" s="47" t="s">
        <v>32</v>
      </c>
      <c r="D122" s="48">
        <v>44943</v>
      </c>
      <c r="E122" s="48">
        <v>44946</v>
      </c>
      <c r="F122" s="48">
        <v>44952</v>
      </c>
      <c r="G122" s="47"/>
      <c r="H122" s="47"/>
      <c r="I122" s="54">
        <f t="shared" si="2"/>
        <v>1</v>
      </c>
      <c r="J122" s="1"/>
      <c r="K122" s="1"/>
      <c r="L122" s="1"/>
      <c r="M122" s="1"/>
      <c r="N122" s="1"/>
      <c r="O122" s="1"/>
      <c r="P122" s="1"/>
      <c r="Q122" s="1"/>
      <c r="R122" s="1"/>
      <c r="S122" s="1"/>
      <c r="T122" s="1"/>
      <c r="U122" s="1"/>
    </row>
    <row r="123" spans="1:21" ht="15.75" customHeight="1">
      <c r="A123" s="50">
        <v>122</v>
      </c>
      <c r="B123" s="50">
        <v>27221</v>
      </c>
      <c r="C123" s="51" t="s">
        <v>49</v>
      </c>
      <c r="D123" s="52">
        <v>44934</v>
      </c>
      <c r="E123" s="52">
        <v>44939</v>
      </c>
      <c r="F123" s="52">
        <v>44957</v>
      </c>
      <c r="G123" s="51"/>
      <c r="H123" s="51"/>
      <c r="I123" s="53">
        <f t="shared" si="2"/>
        <v>1</v>
      </c>
      <c r="J123" s="1"/>
      <c r="K123" s="1"/>
      <c r="L123" s="1"/>
      <c r="M123" s="1"/>
      <c r="N123" s="1"/>
      <c r="O123" s="1"/>
      <c r="P123" s="1"/>
      <c r="Q123" s="1"/>
      <c r="R123" s="1"/>
      <c r="S123" s="1"/>
      <c r="T123" s="1"/>
      <c r="U123" s="1"/>
    </row>
    <row r="124" spans="1:21" ht="15.75" customHeight="1">
      <c r="A124" s="46">
        <v>123</v>
      </c>
      <c r="B124" s="46">
        <v>29858</v>
      </c>
      <c r="C124" s="47" t="s">
        <v>31</v>
      </c>
      <c r="D124" s="48">
        <v>45066</v>
      </c>
      <c r="E124" s="48">
        <v>45066</v>
      </c>
      <c r="F124" s="48">
        <v>45088</v>
      </c>
      <c r="G124" s="47"/>
      <c r="H124" s="47"/>
      <c r="I124" s="54">
        <f t="shared" si="2"/>
        <v>1</v>
      </c>
      <c r="J124" s="1"/>
      <c r="K124" s="1"/>
      <c r="L124" s="1"/>
      <c r="M124" s="1"/>
      <c r="N124" s="1"/>
      <c r="O124" s="1"/>
      <c r="P124" s="1"/>
      <c r="Q124" s="1"/>
      <c r="R124" s="1"/>
      <c r="S124" s="1"/>
      <c r="T124" s="1"/>
      <c r="U124" s="1"/>
    </row>
    <row r="125" spans="1:21" ht="15.75" customHeight="1">
      <c r="A125" s="50">
        <v>124</v>
      </c>
      <c r="B125" s="50">
        <v>16676</v>
      </c>
      <c r="C125" s="51" t="s">
        <v>31</v>
      </c>
      <c r="D125" s="52">
        <v>44939</v>
      </c>
      <c r="E125" s="52">
        <v>44939</v>
      </c>
      <c r="F125" s="52">
        <v>44952</v>
      </c>
      <c r="G125" s="51"/>
      <c r="H125" s="51"/>
      <c r="I125" s="53">
        <f t="shared" si="2"/>
        <v>1</v>
      </c>
      <c r="J125" s="1"/>
      <c r="K125" s="1"/>
      <c r="L125" s="1"/>
      <c r="M125" s="1"/>
      <c r="N125" s="1"/>
      <c r="O125" s="1"/>
      <c r="P125" s="1"/>
      <c r="Q125" s="1"/>
      <c r="R125" s="1"/>
      <c r="S125" s="1"/>
      <c r="T125" s="1"/>
      <c r="U125" s="1"/>
    </row>
    <row r="126" spans="1:21" ht="15.75" customHeight="1">
      <c r="A126" s="46">
        <v>125</v>
      </c>
      <c r="B126" s="46">
        <v>12847</v>
      </c>
      <c r="C126" s="47" t="s">
        <v>32</v>
      </c>
      <c r="D126" s="48">
        <v>45064</v>
      </c>
      <c r="E126" s="48">
        <v>45064</v>
      </c>
      <c r="F126" s="48">
        <v>45073</v>
      </c>
      <c r="G126" s="47"/>
      <c r="H126" s="47"/>
      <c r="I126" s="54">
        <f t="shared" si="2"/>
        <v>1</v>
      </c>
      <c r="J126" s="1"/>
      <c r="K126" s="1"/>
      <c r="L126" s="1"/>
      <c r="M126" s="1"/>
      <c r="N126" s="1"/>
      <c r="O126" s="1"/>
      <c r="P126" s="1"/>
      <c r="Q126" s="1"/>
      <c r="R126" s="1"/>
      <c r="S126" s="1"/>
      <c r="T126" s="1"/>
      <c r="U126" s="1"/>
    </row>
    <row r="127" spans="1:21" ht="15.75" customHeight="1">
      <c r="A127" s="50">
        <v>126</v>
      </c>
      <c r="B127" s="50">
        <v>22659</v>
      </c>
      <c r="C127" s="51" t="s">
        <v>49</v>
      </c>
      <c r="D127" s="52">
        <v>45031</v>
      </c>
      <c r="E127" s="52">
        <v>45031</v>
      </c>
      <c r="F127" s="52">
        <v>45042</v>
      </c>
      <c r="G127" s="51"/>
      <c r="H127" s="51"/>
      <c r="I127" s="53">
        <f t="shared" si="2"/>
        <v>1</v>
      </c>
      <c r="J127" s="1"/>
      <c r="K127" s="1"/>
      <c r="L127" s="1"/>
      <c r="M127" s="1"/>
      <c r="N127" s="1"/>
      <c r="O127" s="1"/>
      <c r="P127" s="1"/>
      <c r="Q127" s="1"/>
      <c r="R127" s="1"/>
      <c r="S127" s="1"/>
      <c r="T127" s="1"/>
      <c r="U127" s="1"/>
    </row>
    <row r="128" spans="1:21" ht="15.75" customHeight="1">
      <c r="A128" s="46">
        <v>127</v>
      </c>
      <c r="B128" s="46">
        <v>28235</v>
      </c>
      <c r="C128" s="47" t="s">
        <v>33</v>
      </c>
      <c r="D128" s="48">
        <v>44960</v>
      </c>
      <c r="E128" s="48">
        <v>44962</v>
      </c>
      <c r="F128" s="48">
        <v>44975</v>
      </c>
      <c r="G128" s="47"/>
      <c r="H128" s="47"/>
      <c r="I128" s="54">
        <f t="shared" si="2"/>
        <v>1</v>
      </c>
      <c r="J128" s="1"/>
      <c r="K128" s="1"/>
      <c r="L128" s="1"/>
      <c r="M128" s="1"/>
      <c r="N128" s="1"/>
      <c r="O128" s="1"/>
      <c r="P128" s="1"/>
      <c r="Q128" s="1"/>
      <c r="R128" s="1"/>
      <c r="S128" s="1"/>
      <c r="T128" s="1"/>
      <c r="U128" s="1"/>
    </row>
    <row r="129" spans="1:21" ht="15.75" customHeight="1">
      <c r="A129" s="50">
        <v>128</v>
      </c>
      <c r="B129" s="50">
        <v>10705</v>
      </c>
      <c r="C129" s="51" t="s">
        <v>32</v>
      </c>
      <c r="D129" s="52">
        <v>45021</v>
      </c>
      <c r="E129" s="52">
        <v>45021</v>
      </c>
      <c r="F129" s="52">
        <v>45043</v>
      </c>
      <c r="G129" s="51"/>
      <c r="H129" s="51"/>
      <c r="I129" s="53">
        <f t="shared" si="2"/>
        <v>1</v>
      </c>
      <c r="J129" s="1"/>
      <c r="K129" s="1"/>
      <c r="L129" s="1"/>
      <c r="M129" s="1"/>
      <c r="N129" s="1"/>
      <c r="O129" s="1"/>
      <c r="P129" s="1"/>
      <c r="Q129" s="1"/>
      <c r="R129" s="1"/>
      <c r="S129" s="1"/>
      <c r="T129" s="1"/>
      <c r="U129" s="1"/>
    </row>
    <row r="130" spans="1:21" ht="15.75" customHeight="1">
      <c r="A130" s="46">
        <v>129</v>
      </c>
      <c r="B130" s="46">
        <v>12540</v>
      </c>
      <c r="C130" s="47" t="s">
        <v>45</v>
      </c>
      <c r="D130" s="48">
        <v>44951</v>
      </c>
      <c r="E130" s="48">
        <v>44956</v>
      </c>
      <c r="F130" s="48">
        <v>44959</v>
      </c>
      <c r="G130" s="47"/>
      <c r="H130" s="47"/>
      <c r="I130" s="54">
        <f t="shared" si="2"/>
        <v>1</v>
      </c>
      <c r="J130" s="1"/>
      <c r="K130" s="1"/>
      <c r="L130" s="1"/>
      <c r="M130" s="1"/>
      <c r="N130" s="1"/>
      <c r="O130" s="1"/>
      <c r="P130" s="1"/>
      <c r="Q130" s="1"/>
      <c r="R130" s="1"/>
      <c r="S130" s="1"/>
      <c r="T130" s="1"/>
      <c r="U130" s="1"/>
    </row>
    <row r="131" spans="1:21" ht="15.75" customHeight="1">
      <c r="A131" s="50">
        <v>130</v>
      </c>
      <c r="B131" s="50">
        <v>16481</v>
      </c>
      <c r="C131" s="51" t="s">
        <v>32</v>
      </c>
      <c r="D131" s="52">
        <v>45032</v>
      </c>
      <c r="E131" s="52">
        <v>45035</v>
      </c>
      <c r="F131" s="52">
        <v>45045</v>
      </c>
      <c r="G131" s="51"/>
      <c r="H131" s="51"/>
      <c r="I131" s="53">
        <f t="shared" si="2"/>
        <v>1</v>
      </c>
      <c r="J131" s="1"/>
      <c r="K131" s="1"/>
      <c r="L131" s="1"/>
      <c r="M131" s="1"/>
      <c r="N131" s="1"/>
      <c r="O131" s="1"/>
      <c r="P131" s="1"/>
      <c r="Q131" s="1"/>
      <c r="R131" s="1"/>
      <c r="S131" s="1"/>
      <c r="T131" s="1"/>
      <c r="U131" s="1"/>
    </row>
    <row r="132" spans="1:21" ht="15.75" customHeight="1">
      <c r="A132" s="46">
        <v>131</v>
      </c>
      <c r="B132" s="46">
        <v>25600</v>
      </c>
      <c r="C132" s="47" t="s">
        <v>33</v>
      </c>
      <c r="D132" s="48">
        <v>45047</v>
      </c>
      <c r="E132" s="48">
        <v>45049</v>
      </c>
      <c r="F132" s="48">
        <v>45071</v>
      </c>
      <c r="G132" s="47"/>
      <c r="H132" s="47"/>
      <c r="I132" s="54">
        <f t="shared" si="2"/>
        <v>1</v>
      </c>
      <c r="J132" s="1"/>
      <c r="K132" s="1"/>
      <c r="L132" s="1"/>
      <c r="M132" s="1"/>
      <c r="N132" s="1"/>
      <c r="O132" s="1"/>
      <c r="P132" s="1"/>
      <c r="Q132" s="1"/>
      <c r="R132" s="1"/>
      <c r="S132" s="1"/>
      <c r="T132" s="1"/>
      <c r="U132" s="1"/>
    </row>
    <row r="133" spans="1:21" ht="15.75" customHeight="1">
      <c r="A133" s="50">
        <v>132</v>
      </c>
      <c r="B133" s="50">
        <v>20705</v>
      </c>
      <c r="C133" s="51" t="s">
        <v>49</v>
      </c>
      <c r="D133" s="52">
        <v>45023</v>
      </c>
      <c r="E133" s="52">
        <v>45028</v>
      </c>
      <c r="F133" s="52">
        <v>45036</v>
      </c>
      <c r="G133" s="52">
        <v>45058</v>
      </c>
      <c r="H133" s="52">
        <v>45059</v>
      </c>
      <c r="I133" s="53">
        <f t="shared" si="2"/>
        <v>1</v>
      </c>
      <c r="J133" s="1"/>
      <c r="K133" s="1"/>
      <c r="L133" s="1"/>
      <c r="M133" s="1"/>
      <c r="N133" s="1"/>
      <c r="O133" s="1"/>
      <c r="P133" s="1"/>
      <c r="Q133" s="1"/>
      <c r="R133" s="1"/>
      <c r="S133" s="1"/>
      <c r="T133" s="1"/>
      <c r="U133" s="1"/>
    </row>
    <row r="134" spans="1:21" ht="15.75" customHeight="1">
      <c r="A134" s="46">
        <v>133</v>
      </c>
      <c r="B134" s="46">
        <v>16197</v>
      </c>
      <c r="C134" s="47" t="s">
        <v>49</v>
      </c>
      <c r="D134" s="48">
        <v>45077</v>
      </c>
      <c r="E134" s="48">
        <v>45079</v>
      </c>
      <c r="F134" s="48">
        <v>45086</v>
      </c>
      <c r="G134" s="48">
        <v>45102</v>
      </c>
      <c r="H134" s="48">
        <v>45106</v>
      </c>
      <c r="I134" s="54">
        <f t="shared" si="2"/>
        <v>1</v>
      </c>
      <c r="J134" s="1"/>
      <c r="K134" s="1"/>
      <c r="L134" s="1"/>
      <c r="M134" s="1"/>
      <c r="N134" s="1"/>
      <c r="O134" s="1"/>
      <c r="P134" s="1"/>
      <c r="Q134" s="1"/>
      <c r="R134" s="1"/>
      <c r="S134" s="1"/>
      <c r="T134" s="1"/>
      <c r="U134" s="1"/>
    </row>
    <row r="135" spans="1:21" ht="15.75" customHeight="1">
      <c r="A135" s="50">
        <v>134</v>
      </c>
      <c r="B135" s="50">
        <v>22778</v>
      </c>
      <c r="C135" s="51" t="s">
        <v>33</v>
      </c>
      <c r="D135" s="52">
        <v>44959</v>
      </c>
      <c r="E135" s="52">
        <v>44964</v>
      </c>
      <c r="F135" s="52">
        <v>44986</v>
      </c>
      <c r="G135" s="51"/>
      <c r="H135" s="51"/>
      <c r="I135" s="53">
        <f t="shared" si="2"/>
        <v>1</v>
      </c>
      <c r="J135" s="1"/>
      <c r="K135" s="1"/>
      <c r="L135" s="1"/>
      <c r="M135" s="1"/>
      <c r="N135" s="1"/>
      <c r="O135" s="1"/>
      <c r="P135" s="1"/>
      <c r="Q135" s="1"/>
      <c r="R135" s="1"/>
      <c r="S135" s="1"/>
      <c r="T135" s="1"/>
      <c r="U135" s="1"/>
    </row>
    <row r="136" spans="1:21" ht="15.75" customHeight="1">
      <c r="A136" s="46">
        <v>135</v>
      </c>
      <c r="B136" s="46">
        <v>20449</v>
      </c>
      <c r="C136" s="47" t="s">
        <v>49</v>
      </c>
      <c r="D136" s="48">
        <v>44961</v>
      </c>
      <c r="E136" s="48">
        <v>44966</v>
      </c>
      <c r="F136" s="48">
        <v>44970</v>
      </c>
      <c r="G136" s="47"/>
      <c r="H136" s="47"/>
      <c r="I136" s="54">
        <f t="shared" si="2"/>
        <v>1</v>
      </c>
      <c r="J136" s="1"/>
      <c r="K136" s="1"/>
      <c r="L136" s="1"/>
      <c r="M136" s="1"/>
      <c r="N136" s="1"/>
      <c r="O136" s="1"/>
      <c r="P136" s="1"/>
      <c r="Q136" s="1"/>
      <c r="R136" s="1"/>
      <c r="S136" s="1"/>
      <c r="T136" s="1"/>
      <c r="U136" s="1"/>
    </row>
    <row r="137" spans="1:21" ht="15.75" customHeight="1">
      <c r="A137" s="50">
        <v>136</v>
      </c>
      <c r="B137" s="50">
        <v>20347</v>
      </c>
      <c r="C137" s="51" t="s">
        <v>45</v>
      </c>
      <c r="D137" s="52">
        <v>45051</v>
      </c>
      <c r="E137" s="52">
        <v>45051</v>
      </c>
      <c r="F137" s="52">
        <v>45070</v>
      </c>
      <c r="G137" s="51"/>
      <c r="H137" s="51"/>
      <c r="I137" s="53">
        <f t="shared" si="2"/>
        <v>1</v>
      </c>
      <c r="J137" s="1"/>
      <c r="K137" s="1"/>
      <c r="L137" s="1"/>
      <c r="M137" s="1"/>
      <c r="N137" s="1"/>
      <c r="O137" s="1"/>
      <c r="P137" s="1"/>
      <c r="Q137" s="1"/>
      <c r="R137" s="1"/>
      <c r="S137" s="1"/>
      <c r="T137" s="1"/>
      <c r="U137" s="1"/>
    </row>
    <row r="138" spans="1:21" ht="15.75" customHeight="1">
      <c r="A138" s="46">
        <v>137</v>
      </c>
      <c r="B138" s="46">
        <v>17304</v>
      </c>
      <c r="C138" s="47" t="s">
        <v>32</v>
      </c>
      <c r="D138" s="48">
        <v>44946</v>
      </c>
      <c r="E138" s="48">
        <v>44947</v>
      </c>
      <c r="F138" s="48">
        <v>44966</v>
      </c>
      <c r="G138" s="47"/>
      <c r="H138" s="47"/>
      <c r="I138" s="54">
        <f t="shared" si="2"/>
        <v>1</v>
      </c>
      <c r="J138" s="1"/>
      <c r="K138" s="1"/>
      <c r="L138" s="1"/>
      <c r="M138" s="1"/>
      <c r="N138" s="1"/>
      <c r="O138" s="1"/>
      <c r="P138" s="1"/>
      <c r="Q138" s="1"/>
      <c r="R138" s="1"/>
      <c r="S138" s="1"/>
      <c r="T138" s="1"/>
      <c r="U138" s="1"/>
    </row>
    <row r="139" spans="1:21" ht="15.75" customHeight="1">
      <c r="A139" s="50">
        <v>138</v>
      </c>
      <c r="B139" s="50">
        <v>26133</v>
      </c>
      <c r="C139" s="51" t="s">
        <v>45</v>
      </c>
      <c r="D139" s="52">
        <v>45045</v>
      </c>
      <c r="E139" s="52">
        <v>45051</v>
      </c>
      <c r="F139" s="52">
        <v>45077</v>
      </c>
      <c r="G139" s="51"/>
      <c r="H139" s="51"/>
      <c r="I139" s="53">
        <f t="shared" si="2"/>
        <v>1</v>
      </c>
      <c r="J139" s="1"/>
      <c r="K139" s="1"/>
      <c r="L139" s="1"/>
      <c r="M139" s="1"/>
      <c r="N139" s="1"/>
      <c r="O139" s="1"/>
      <c r="P139" s="1"/>
      <c r="Q139" s="1"/>
      <c r="R139" s="1"/>
      <c r="S139" s="1"/>
      <c r="T139" s="1"/>
      <c r="U139" s="1"/>
    </row>
    <row r="140" spans="1:21" ht="15.75" customHeight="1">
      <c r="A140" s="46">
        <v>139</v>
      </c>
      <c r="B140" s="46">
        <v>29284</v>
      </c>
      <c r="C140" s="47" t="s">
        <v>32</v>
      </c>
      <c r="D140" s="48">
        <v>45034</v>
      </c>
      <c r="E140" s="48">
        <v>45035</v>
      </c>
      <c r="F140" s="48">
        <v>45037</v>
      </c>
      <c r="G140" s="47"/>
      <c r="H140" s="47"/>
      <c r="I140" s="54">
        <f t="shared" ref="I140:I203" si="3">IF(ISBLANK(F140),0,1)</f>
        <v>1</v>
      </c>
      <c r="J140" s="1"/>
      <c r="K140" s="1"/>
      <c r="L140" s="1"/>
      <c r="M140" s="1"/>
      <c r="N140" s="1"/>
      <c r="O140" s="1"/>
      <c r="P140" s="1"/>
      <c r="Q140" s="1"/>
      <c r="R140" s="1"/>
      <c r="S140" s="1"/>
      <c r="T140" s="1"/>
      <c r="U140" s="1"/>
    </row>
    <row r="141" spans="1:21" ht="15.75" customHeight="1">
      <c r="A141" s="50">
        <v>140</v>
      </c>
      <c r="B141" s="50">
        <v>22684</v>
      </c>
      <c r="C141" s="51" t="s">
        <v>49</v>
      </c>
      <c r="D141" s="52">
        <v>45053</v>
      </c>
      <c r="E141" s="52">
        <v>45054</v>
      </c>
      <c r="F141" s="52">
        <v>45073</v>
      </c>
      <c r="G141" s="51"/>
      <c r="H141" s="51"/>
      <c r="I141" s="53">
        <f t="shared" si="3"/>
        <v>1</v>
      </c>
      <c r="J141" s="1"/>
      <c r="K141" s="1"/>
      <c r="L141" s="1"/>
      <c r="M141" s="1"/>
      <c r="N141" s="1"/>
      <c r="O141" s="1"/>
      <c r="P141" s="1"/>
      <c r="Q141" s="1"/>
      <c r="R141" s="1"/>
      <c r="S141" s="1"/>
      <c r="T141" s="1"/>
      <c r="U141" s="1"/>
    </row>
    <row r="142" spans="1:21" ht="15.75" customHeight="1">
      <c r="A142" s="46">
        <v>141</v>
      </c>
      <c r="B142" s="46">
        <v>27990</v>
      </c>
      <c r="C142" s="47" t="s">
        <v>45</v>
      </c>
      <c r="D142" s="48">
        <v>44944</v>
      </c>
      <c r="E142" s="48">
        <v>44948</v>
      </c>
      <c r="F142" s="48">
        <v>44955</v>
      </c>
      <c r="G142" s="47"/>
      <c r="H142" s="47"/>
      <c r="I142" s="54">
        <f t="shared" si="3"/>
        <v>1</v>
      </c>
      <c r="J142" s="1"/>
      <c r="K142" s="1"/>
      <c r="L142" s="1"/>
      <c r="M142" s="1"/>
      <c r="N142" s="1"/>
      <c r="O142" s="1"/>
      <c r="P142" s="1"/>
      <c r="Q142" s="1"/>
      <c r="R142" s="1"/>
      <c r="S142" s="1"/>
      <c r="T142" s="1"/>
      <c r="U142" s="1"/>
    </row>
    <row r="143" spans="1:21" ht="15.75" customHeight="1">
      <c r="A143" s="50">
        <v>142</v>
      </c>
      <c r="B143" s="50">
        <v>24405</v>
      </c>
      <c r="C143" s="51" t="s">
        <v>33</v>
      </c>
      <c r="D143" s="52">
        <v>44949</v>
      </c>
      <c r="E143" s="52">
        <v>44953</v>
      </c>
      <c r="F143" s="52">
        <v>44969</v>
      </c>
      <c r="G143" s="51"/>
      <c r="H143" s="51"/>
      <c r="I143" s="53">
        <f t="shared" si="3"/>
        <v>1</v>
      </c>
      <c r="J143" s="1"/>
      <c r="K143" s="1"/>
      <c r="L143" s="1"/>
      <c r="M143" s="1"/>
      <c r="N143" s="1"/>
      <c r="O143" s="1"/>
      <c r="P143" s="1"/>
      <c r="Q143" s="1"/>
      <c r="R143" s="1"/>
      <c r="S143" s="1"/>
      <c r="T143" s="1"/>
      <c r="U143" s="1"/>
    </row>
    <row r="144" spans="1:21" ht="15.75" customHeight="1">
      <c r="A144" s="46">
        <v>143</v>
      </c>
      <c r="B144" s="46">
        <v>18667</v>
      </c>
      <c r="C144" s="47" t="s">
        <v>49</v>
      </c>
      <c r="D144" s="48">
        <v>45053</v>
      </c>
      <c r="E144" s="48">
        <v>45056</v>
      </c>
      <c r="F144" s="48">
        <v>45062</v>
      </c>
      <c r="G144" s="47"/>
      <c r="H144" s="47"/>
      <c r="I144" s="54">
        <f t="shared" si="3"/>
        <v>1</v>
      </c>
      <c r="J144" s="1"/>
      <c r="K144" s="1"/>
      <c r="L144" s="1"/>
      <c r="M144" s="1"/>
      <c r="N144" s="1"/>
      <c r="O144" s="1"/>
      <c r="P144" s="1"/>
      <c r="Q144" s="1"/>
      <c r="R144" s="1"/>
      <c r="S144" s="1"/>
      <c r="T144" s="1"/>
      <c r="U144" s="1"/>
    </row>
    <row r="145" spans="1:21" ht="15.75" customHeight="1">
      <c r="A145" s="50">
        <v>144</v>
      </c>
      <c r="B145" s="50">
        <v>25813</v>
      </c>
      <c r="C145" s="51" t="s">
        <v>49</v>
      </c>
      <c r="D145" s="52">
        <v>44940</v>
      </c>
      <c r="E145" s="52">
        <v>44946</v>
      </c>
      <c r="F145" s="52">
        <v>44953</v>
      </c>
      <c r="G145" s="51"/>
      <c r="H145" s="51"/>
      <c r="I145" s="53">
        <f t="shared" si="3"/>
        <v>1</v>
      </c>
      <c r="J145" s="1"/>
      <c r="K145" s="1"/>
      <c r="L145" s="1"/>
      <c r="M145" s="1"/>
      <c r="N145" s="1"/>
      <c r="O145" s="1"/>
      <c r="P145" s="1"/>
      <c r="Q145" s="1"/>
      <c r="R145" s="1"/>
      <c r="S145" s="1"/>
      <c r="T145" s="1"/>
      <c r="U145" s="1"/>
    </row>
    <row r="146" spans="1:21" ht="15.75" customHeight="1">
      <c r="A146" s="46">
        <v>145</v>
      </c>
      <c r="B146" s="46">
        <v>24899</v>
      </c>
      <c r="C146" s="47" t="s">
        <v>31</v>
      </c>
      <c r="D146" s="48">
        <v>45057</v>
      </c>
      <c r="E146" s="48">
        <v>45063</v>
      </c>
      <c r="F146" s="48">
        <v>45068</v>
      </c>
      <c r="G146" s="47"/>
      <c r="H146" s="47"/>
      <c r="I146" s="54">
        <f t="shared" si="3"/>
        <v>1</v>
      </c>
      <c r="J146" s="1"/>
      <c r="K146" s="1"/>
      <c r="L146" s="1"/>
      <c r="M146" s="1"/>
      <c r="N146" s="1"/>
      <c r="O146" s="1"/>
      <c r="P146" s="1"/>
      <c r="Q146" s="1"/>
      <c r="R146" s="1"/>
      <c r="S146" s="1"/>
      <c r="T146" s="1"/>
      <c r="U146" s="1"/>
    </row>
    <row r="147" spans="1:21" ht="15.75" customHeight="1">
      <c r="A147" s="50">
        <v>146</v>
      </c>
      <c r="B147" s="50">
        <v>20063</v>
      </c>
      <c r="C147" s="51" t="s">
        <v>49</v>
      </c>
      <c r="D147" s="52">
        <v>45052</v>
      </c>
      <c r="E147" s="52">
        <v>45052</v>
      </c>
      <c r="F147" s="52">
        <v>45056</v>
      </c>
      <c r="G147" s="51"/>
      <c r="H147" s="51"/>
      <c r="I147" s="53">
        <f t="shared" si="3"/>
        <v>1</v>
      </c>
      <c r="J147" s="1"/>
      <c r="K147" s="1"/>
      <c r="L147" s="1"/>
      <c r="M147" s="1"/>
      <c r="N147" s="1"/>
      <c r="O147" s="1"/>
      <c r="P147" s="1"/>
      <c r="Q147" s="1"/>
      <c r="R147" s="1"/>
      <c r="S147" s="1"/>
      <c r="T147" s="1"/>
      <c r="U147" s="1"/>
    </row>
    <row r="148" spans="1:21" ht="15.75" customHeight="1">
      <c r="A148" s="46">
        <v>147</v>
      </c>
      <c r="B148" s="46">
        <v>25659</v>
      </c>
      <c r="C148" s="47" t="s">
        <v>31</v>
      </c>
      <c r="D148" s="48">
        <v>44932</v>
      </c>
      <c r="E148" s="48">
        <v>44932</v>
      </c>
      <c r="F148" s="47"/>
      <c r="G148" s="48">
        <v>44961</v>
      </c>
      <c r="H148" s="48">
        <v>44963</v>
      </c>
      <c r="I148" s="54">
        <f t="shared" si="3"/>
        <v>0</v>
      </c>
      <c r="J148" s="1"/>
      <c r="K148" s="1"/>
      <c r="L148" s="1"/>
      <c r="M148" s="1"/>
      <c r="N148" s="1"/>
      <c r="O148" s="1"/>
      <c r="P148" s="1"/>
      <c r="Q148" s="1"/>
      <c r="R148" s="1"/>
      <c r="S148" s="1"/>
      <c r="T148" s="1"/>
      <c r="U148" s="1"/>
    </row>
    <row r="149" spans="1:21" ht="15.75" customHeight="1">
      <c r="A149" s="50">
        <v>148</v>
      </c>
      <c r="B149" s="50">
        <v>10012</v>
      </c>
      <c r="C149" s="51" t="s">
        <v>33</v>
      </c>
      <c r="D149" s="52">
        <v>45072</v>
      </c>
      <c r="E149" s="52">
        <v>45072</v>
      </c>
      <c r="F149" s="52">
        <v>45092</v>
      </c>
      <c r="G149" s="51"/>
      <c r="H149" s="51"/>
      <c r="I149" s="53">
        <f t="shared" si="3"/>
        <v>1</v>
      </c>
      <c r="J149" s="1"/>
      <c r="K149" s="1"/>
      <c r="L149" s="1"/>
      <c r="M149" s="1"/>
      <c r="N149" s="1"/>
      <c r="O149" s="1"/>
      <c r="P149" s="1"/>
      <c r="Q149" s="1"/>
      <c r="R149" s="1"/>
      <c r="S149" s="1"/>
      <c r="T149" s="1"/>
      <c r="U149" s="1"/>
    </row>
    <row r="150" spans="1:21" ht="15.75" customHeight="1">
      <c r="A150" s="46">
        <v>149</v>
      </c>
      <c r="B150" s="46">
        <v>17183</v>
      </c>
      <c r="C150" s="47" t="s">
        <v>32</v>
      </c>
      <c r="D150" s="48">
        <v>45039</v>
      </c>
      <c r="E150" s="48">
        <v>45039</v>
      </c>
      <c r="F150" s="48">
        <v>45050</v>
      </c>
      <c r="G150" s="47"/>
      <c r="H150" s="47"/>
      <c r="I150" s="54">
        <f t="shared" si="3"/>
        <v>1</v>
      </c>
      <c r="J150" s="1"/>
      <c r="K150" s="1"/>
      <c r="L150" s="1"/>
      <c r="M150" s="1"/>
      <c r="N150" s="1"/>
      <c r="O150" s="1"/>
      <c r="P150" s="1"/>
      <c r="Q150" s="1"/>
      <c r="R150" s="1"/>
      <c r="S150" s="1"/>
      <c r="T150" s="1"/>
      <c r="U150" s="1"/>
    </row>
    <row r="151" spans="1:21" ht="15.75" customHeight="1">
      <c r="A151" s="50">
        <v>150</v>
      </c>
      <c r="B151" s="50">
        <v>25726</v>
      </c>
      <c r="C151" s="51" t="s">
        <v>49</v>
      </c>
      <c r="D151" s="52">
        <v>44928</v>
      </c>
      <c r="E151" s="52">
        <v>44930</v>
      </c>
      <c r="F151" s="52">
        <v>44940</v>
      </c>
      <c r="G151" s="51"/>
      <c r="H151" s="51"/>
      <c r="I151" s="53">
        <f t="shared" si="3"/>
        <v>1</v>
      </c>
      <c r="J151" s="1"/>
      <c r="K151" s="1"/>
      <c r="L151" s="1"/>
      <c r="M151" s="1"/>
      <c r="N151" s="1"/>
      <c r="O151" s="1"/>
      <c r="P151" s="1"/>
      <c r="Q151" s="1"/>
      <c r="R151" s="1"/>
      <c r="S151" s="1"/>
      <c r="T151" s="1"/>
      <c r="U151" s="1"/>
    </row>
    <row r="152" spans="1:21" ht="15.75" customHeight="1">
      <c r="A152" s="46">
        <v>151</v>
      </c>
      <c r="B152" s="46">
        <v>12275</v>
      </c>
      <c r="C152" s="47" t="s">
        <v>45</v>
      </c>
      <c r="D152" s="48">
        <v>44976</v>
      </c>
      <c r="E152" s="48">
        <v>44982</v>
      </c>
      <c r="F152" s="48">
        <v>44983</v>
      </c>
      <c r="G152" s="47"/>
      <c r="H152" s="47"/>
      <c r="I152" s="54">
        <f t="shared" si="3"/>
        <v>1</v>
      </c>
      <c r="J152" s="1"/>
      <c r="K152" s="1"/>
      <c r="L152" s="1"/>
      <c r="M152" s="1"/>
      <c r="N152" s="1"/>
      <c r="O152" s="1"/>
      <c r="P152" s="1"/>
      <c r="Q152" s="1"/>
      <c r="R152" s="1"/>
      <c r="S152" s="1"/>
      <c r="T152" s="1"/>
      <c r="U152" s="1"/>
    </row>
    <row r="153" spans="1:21" ht="15.75" customHeight="1">
      <c r="A153" s="50">
        <v>152</v>
      </c>
      <c r="B153" s="50">
        <v>20640</v>
      </c>
      <c r="C153" s="51" t="s">
        <v>31</v>
      </c>
      <c r="D153" s="52">
        <v>44947</v>
      </c>
      <c r="E153" s="52">
        <v>44948</v>
      </c>
      <c r="F153" s="52">
        <v>44968</v>
      </c>
      <c r="G153" s="52">
        <v>44975</v>
      </c>
      <c r="H153" s="52">
        <v>44978</v>
      </c>
      <c r="I153" s="53">
        <f t="shared" si="3"/>
        <v>1</v>
      </c>
      <c r="J153" s="1"/>
      <c r="K153" s="1"/>
      <c r="L153" s="1"/>
      <c r="M153" s="1"/>
      <c r="N153" s="1"/>
      <c r="O153" s="1"/>
      <c r="P153" s="1"/>
      <c r="Q153" s="1"/>
      <c r="R153" s="1"/>
      <c r="S153" s="1"/>
      <c r="T153" s="1"/>
      <c r="U153" s="1"/>
    </row>
    <row r="154" spans="1:21" ht="15.75" customHeight="1">
      <c r="A154" s="46">
        <v>153</v>
      </c>
      <c r="B154" s="46">
        <v>27984</v>
      </c>
      <c r="C154" s="47" t="s">
        <v>32</v>
      </c>
      <c r="D154" s="48">
        <v>45000</v>
      </c>
      <c r="E154" s="48">
        <v>45002</v>
      </c>
      <c r="F154" s="48">
        <v>45005</v>
      </c>
      <c r="G154" s="47"/>
      <c r="H154" s="47"/>
      <c r="I154" s="54">
        <f t="shared" si="3"/>
        <v>1</v>
      </c>
      <c r="J154" s="1"/>
      <c r="K154" s="1"/>
      <c r="L154" s="1"/>
      <c r="M154" s="1"/>
      <c r="N154" s="1"/>
      <c r="O154" s="1"/>
      <c r="P154" s="1"/>
      <c r="Q154" s="1"/>
      <c r="R154" s="1"/>
      <c r="S154" s="1"/>
      <c r="T154" s="1"/>
      <c r="U154" s="1"/>
    </row>
    <row r="155" spans="1:21" ht="15.75" customHeight="1">
      <c r="A155" s="50">
        <v>154</v>
      </c>
      <c r="B155" s="50">
        <v>24080</v>
      </c>
      <c r="C155" s="51" t="s">
        <v>49</v>
      </c>
      <c r="D155" s="52">
        <v>44996</v>
      </c>
      <c r="E155" s="52">
        <v>44996</v>
      </c>
      <c r="F155" s="52">
        <v>45014</v>
      </c>
      <c r="G155" s="51"/>
      <c r="H155" s="51"/>
      <c r="I155" s="53">
        <f t="shared" si="3"/>
        <v>1</v>
      </c>
      <c r="J155" s="1"/>
      <c r="K155" s="1"/>
      <c r="L155" s="1"/>
      <c r="M155" s="1"/>
      <c r="N155" s="1"/>
      <c r="O155" s="1"/>
      <c r="P155" s="1"/>
      <c r="Q155" s="1"/>
      <c r="R155" s="1"/>
      <c r="S155" s="1"/>
      <c r="T155" s="1"/>
      <c r="U155" s="1"/>
    </row>
    <row r="156" spans="1:21" ht="15.75" customHeight="1">
      <c r="A156" s="46">
        <v>155</v>
      </c>
      <c r="B156" s="46">
        <v>27048</v>
      </c>
      <c r="C156" s="47" t="s">
        <v>45</v>
      </c>
      <c r="D156" s="48">
        <v>45065</v>
      </c>
      <c r="E156" s="48">
        <v>45069</v>
      </c>
      <c r="F156" s="48">
        <v>45081</v>
      </c>
      <c r="G156" s="47"/>
      <c r="H156" s="47"/>
      <c r="I156" s="54">
        <f t="shared" si="3"/>
        <v>1</v>
      </c>
      <c r="J156" s="1"/>
      <c r="K156" s="1"/>
      <c r="L156" s="1"/>
      <c r="M156" s="1"/>
      <c r="N156" s="1"/>
      <c r="O156" s="1"/>
      <c r="P156" s="1"/>
      <c r="Q156" s="1"/>
      <c r="R156" s="1"/>
      <c r="S156" s="1"/>
      <c r="T156" s="1"/>
      <c r="U156" s="1"/>
    </row>
    <row r="157" spans="1:21" ht="15.75" customHeight="1">
      <c r="A157" s="50">
        <v>156</v>
      </c>
      <c r="B157" s="50">
        <v>21442</v>
      </c>
      <c r="C157" s="51" t="s">
        <v>32</v>
      </c>
      <c r="D157" s="52">
        <v>45055</v>
      </c>
      <c r="E157" s="52">
        <v>45057</v>
      </c>
      <c r="F157" s="52">
        <v>45081</v>
      </c>
      <c r="G157" s="51"/>
      <c r="H157" s="51"/>
      <c r="I157" s="53">
        <f t="shared" si="3"/>
        <v>1</v>
      </c>
      <c r="J157" s="1"/>
      <c r="K157" s="1"/>
      <c r="L157" s="1"/>
      <c r="M157" s="1"/>
      <c r="N157" s="1"/>
      <c r="O157" s="1"/>
      <c r="P157" s="1"/>
      <c r="Q157" s="1"/>
      <c r="R157" s="1"/>
      <c r="S157" s="1"/>
      <c r="T157" s="1"/>
      <c r="U157" s="1"/>
    </row>
    <row r="158" spans="1:21" ht="15.75" customHeight="1">
      <c r="A158" s="46">
        <v>157</v>
      </c>
      <c r="B158" s="46">
        <v>17595</v>
      </c>
      <c r="C158" s="47" t="s">
        <v>33</v>
      </c>
      <c r="D158" s="48">
        <v>44948</v>
      </c>
      <c r="E158" s="48">
        <v>44952</v>
      </c>
      <c r="F158" s="48">
        <v>44981</v>
      </c>
      <c r="G158" s="47"/>
      <c r="H158" s="47"/>
      <c r="I158" s="54">
        <f t="shared" si="3"/>
        <v>1</v>
      </c>
      <c r="J158" s="1"/>
      <c r="K158" s="1"/>
      <c r="L158" s="1"/>
      <c r="M158" s="1"/>
      <c r="N158" s="1"/>
      <c r="O158" s="1"/>
      <c r="P158" s="1"/>
      <c r="Q158" s="1"/>
      <c r="R158" s="1"/>
      <c r="S158" s="1"/>
      <c r="T158" s="1"/>
      <c r="U158" s="1"/>
    </row>
    <row r="159" spans="1:21" ht="15.75" customHeight="1">
      <c r="A159" s="50">
        <v>158</v>
      </c>
      <c r="B159" s="50">
        <v>14728</v>
      </c>
      <c r="C159" s="51" t="s">
        <v>33</v>
      </c>
      <c r="D159" s="52">
        <v>44961</v>
      </c>
      <c r="E159" s="52">
        <v>44967</v>
      </c>
      <c r="F159" s="52">
        <v>44981</v>
      </c>
      <c r="G159" s="52">
        <v>44993</v>
      </c>
      <c r="H159" s="52">
        <v>44996</v>
      </c>
      <c r="I159" s="53">
        <f t="shared" si="3"/>
        <v>1</v>
      </c>
      <c r="J159" s="1"/>
      <c r="K159" s="1"/>
      <c r="L159" s="1"/>
      <c r="M159" s="1"/>
      <c r="N159" s="1"/>
      <c r="O159" s="1"/>
      <c r="P159" s="1"/>
      <c r="Q159" s="1"/>
      <c r="R159" s="1"/>
      <c r="S159" s="1"/>
      <c r="T159" s="1"/>
      <c r="U159" s="1"/>
    </row>
    <row r="160" spans="1:21" ht="15.75" customHeight="1">
      <c r="A160" s="46">
        <v>159</v>
      </c>
      <c r="B160" s="46">
        <v>28928</v>
      </c>
      <c r="C160" s="47" t="s">
        <v>33</v>
      </c>
      <c r="D160" s="48">
        <v>45023</v>
      </c>
      <c r="E160" s="48">
        <v>45024</v>
      </c>
      <c r="F160" s="48">
        <v>45033</v>
      </c>
      <c r="G160" s="48">
        <v>45033</v>
      </c>
      <c r="H160" s="48">
        <v>45037</v>
      </c>
      <c r="I160" s="54">
        <f t="shared" si="3"/>
        <v>1</v>
      </c>
      <c r="J160" s="1"/>
      <c r="K160" s="1"/>
      <c r="L160" s="1"/>
      <c r="M160" s="1"/>
      <c r="N160" s="1"/>
      <c r="O160" s="1"/>
      <c r="P160" s="1"/>
      <c r="Q160" s="1"/>
      <c r="R160" s="1"/>
      <c r="S160" s="1"/>
      <c r="T160" s="1"/>
      <c r="U160" s="1"/>
    </row>
    <row r="161" spans="1:21" ht="15.75" customHeight="1">
      <c r="A161" s="50">
        <v>160</v>
      </c>
      <c r="B161" s="50">
        <v>18601</v>
      </c>
      <c r="C161" s="51" t="s">
        <v>33</v>
      </c>
      <c r="D161" s="52">
        <v>45064</v>
      </c>
      <c r="E161" s="52">
        <v>45065</v>
      </c>
      <c r="F161" s="52">
        <v>45076</v>
      </c>
      <c r="G161" s="51"/>
      <c r="H161" s="51"/>
      <c r="I161" s="53">
        <f t="shared" si="3"/>
        <v>1</v>
      </c>
      <c r="J161" s="1"/>
      <c r="K161" s="1"/>
      <c r="L161" s="1"/>
      <c r="M161" s="1"/>
      <c r="N161" s="1"/>
      <c r="O161" s="1"/>
      <c r="P161" s="1"/>
      <c r="Q161" s="1"/>
      <c r="R161" s="1"/>
      <c r="S161" s="1"/>
      <c r="T161" s="1"/>
      <c r="U161" s="1"/>
    </row>
    <row r="162" spans="1:21" ht="15.75" customHeight="1">
      <c r="A162" s="46">
        <v>161</v>
      </c>
      <c r="B162" s="46">
        <v>16482</v>
      </c>
      <c r="C162" s="47" t="s">
        <v>31</v>
      </c>
      <c r="D162" s="48">
        <v>44927</v>
      </c>
      <c r="E162" s="48">
        <v>44929</v>
      </c>
      <c r="F162" s="48">
        <v>44950</v>
      </c>
      <c r="G162" s="47"/>
      <c r="H162" s="47"/>
      <c r="I162" s="54">
        <f t="shared" si="3"/>
        <v>1</v>
      </c>
      <c r="J162" s="1"/>
      <c r="K162" s="1"/>
      <c r="L162" s="1"/>
      <c r="M162" s="1"/>
      <c r="N162" s="1"/>
      <c r="O162" s="1"/>
      <c r="P162" s="1"/>
      <c r="Q162" s="1"/>
      <c r="R162" s="1"/>
      <c r="S162" s="1"/>
      <c r="T162" s="1"/>
      <c r="U162" s="1"/>
    </row>
    <row r="163" spans="1:21" ht="15.75" customHeight="1">
      <c r="A163" s="50">
        <v>162</v>
      </c>
      <c r="B163" s="50">
        <v>11154</v>
      </c>
      <c r="C163" s="51" t="s">
        <v>32</v>
      </c>
      <c r="D163" s="52">
        <v>45021</v>
      </c>
      <c r="E163" s="52">
        <v>45022</v>
      </c>
      <c r="F163" s="51"/>
      <c r="G163" s="52">
        <v>45040</v>
      </c>
      <c r="H163" s="52">
        <v>45041</v>
      </c>
      <c r="I163" s="53">
        <f t="shared" si="3"/>
        <v>0</v>
      </c>
      <c r="J163" s="1"/>
      <c r="K163" s="1"/>
      <c r="L163" s="1"/>
      <c r="M163" s="1"/>
      <c r="N163" s="1"/>
      <c r="O163" s="1"/>
      <c r="P163" s="1"/>
      <c r="Q163" s="1"/>
      <c r="R163" s="1"/>
      <c r="S163" s="1"/>
      <c r="T163" s="1"/>
      <c r="U163" s="1"/>
    </row>
    <row r="164" spans="1:21" ht="15.75" customHeight="1">
      <c r="A164" s="46">
        <v>163</v>
      </c>
      <c r="B164" s="46">
        <v>20637</v>
      </c>
      <c r="C164" s="47" t="s">
        <v>32</v>
      </c>
      <c r="D164" s="48">
        <v>44959</v>
      </c>
      <c r="E164" s="48">
        <v>44960</v>
      </c>
      <c r="F164" s="48">
        <v>44960</v>
      </c>
      <c r="G164" s="47"/>
      <c r="H164" s="47"/>
      <c r="I164" s="54">
        <f t="shared" si="3"/>
        <v>1</v>
      </c>
      <c r="J164" s="1"/>
      <c r="K164" s="1"/>
      <c r="L164" s="1"/>
      <c r="M164" s="1"/>
      <c r="N164" s="1"/>
      <c r="O164" s="1"/>
      <c r="P164" s="1"/>
      <c r="Q164" s="1"/>
      <c r="R164" s="1"/>
      <c r="S164" s="1"/>
      <c r="T164" s="1"/>
      <c r="U164" s="1"/>
    </row>
    <row r="165" spans="1:21" ht="15.75" customHeight="1">
      <c r="A165" s="50">
        <v>164</v>
      </c>
      <c r="B165" s="50">
        <v>11551</v>
      </c>
      <c r="C165" s="51" t="s">
        <v>33</v>
      </c>
      <c r="D165" s="52">
        <v>44982</v>
      </c>
      <c r="E165" s="52">
        <v>44984</v>
      </c>
      <c r="F165" s="52">
        <v>45008</v>
      </c>
      <c r="G165" s="51"/>
      <c r="H165" s="51"/>
      <c r="I165" s="53">
        <f t="shared" si="3"/>
        <v>1</v>
      </c>
      <c r="J165" s="1"/>
      <c r="K165" s="1"/>
      <c r="L165" s="1"/>
      <c r="M165" s="1"/>
      <c r="N165" s="1"/>
      <c r="O165" s="1"/>
      <c r="P165" s="1"/>
      <c r="Q165" s="1"/>
      <c r="R165" s="1"/>
      <c r="S165" s="1"/>
      <c r="T165" s="1"/>
      <c r="U165" s="1"/>
    </row>
    <row r="166" spans="1:21" ht="15.75" customHeight="1">
      <c r="A166" s="46">
        <v>165</v>
      </c>
      <c r="B166" s="46">
        <v>29466</v>
      </c>
      <c r="C166" s="47" t="s">
        <v>49</v>
      </c>
      <c r="D166" s="48">
        <v>44991</v>
      </c>
      <c r="E166" s="48">
        <v>44994</v>
      </c>
      <c r="F166" s="48">
        <v>44994</v>
      </c>
      <c r="G166" s="47"/>
      <c r="H166" s="47"/>
      <c r="I166" s="54">
        <f t="shared" si="3"/>
        <v>1</v>
      </c>
      <c r="J166" s="1"/>
      <c r="K166" s="1"/>
      <c r="L166" s="1"/>
      <c r="M166" s="1"/>
      <c r="N166" s="1"/>
      <c r="O166" s="1"/>
      <c r="P166" s="1"/>
      <c r="Q166" s="1"/>
      <c r="R166" s="1"/>
      <c r="S166" s="1"/>
      <c r="T166" s="1"/>
      <c r="U166" s="1"/>
    </row>
    <row r="167" spans="1:21" ht="15.75" customHeight="1">
      <c r="A167" s="50">
        <v>166</v>
      </c>
      <c r="B167" s="50">
        <v>21102</v>
      </c>
      <c r="C167" s="51" t="s">
        <v>31</v>
      </c>
      <c r="D167" s="52">
        <v>44930</v>
      </c>
      <c r="E167" s="52">
        <v>44930</v>
      </c>
      <c r="F167" s="52">
        <v>44951</v>
      </c>
      <c r="G167" s="51"/>
      <c r="H167" s="51"/>
      <c r="I167" s="53">
        <f t="shared" si="3"/>
        <v>1</v>
      </c>
      <c r="J167" s="1"/>
      <c r="K167" s="1"/>
      <c r="L167" s="1"/>
      <c r="M167" s="1"/>
      <c r="N167" s="1"/>
      <c r="O167" s="1"/>
      <c r="P167" s="1"/>
      <c r="Q167" s="1"/>
      <c r="R167" s="1"/>
      <c r="S167" s="1"/>
      <c r="T167" s="1"/>
      <c r="U167" s="1"/>
    </row>
    <row r="168" spans="1:21" ht="15.75" customHeight="1">
      <c r="A168" s="46">
        <v>167</v>
      </c>
      <c r="B168" s="46">
        <v>28516</v>
      </c>
      <c r="C168" s="47" t="s">
        <v>31</v>
      </c>
      <c r="D168" s="48">
        <v>45063</v>
      </c>
      <c r="E168" s="48">
        <v>45066</v>
      </c>
      <c r="F168" s="48">
        <v>45080</v>
      </c>
      <c r="G168" s="47"/>
      <c r="H168" s="47"/>
      <c r="I168" s="54">
        <f t="shared" si="3"/>
        <v>1</v>
      </c>
      <c r="J168" s="1"/>
      <c r="K168" s="1"/>
      <c r="L168" s="1"/>
      <c r="M168" s="1"/>
      <c r="N168" s="1"/>
      <c r="O168" s="1"/>
      <c r="P168" s="1"/>
      <c r="Q168" s="1"/>
      <c r="R168" s="1"/>
      <c r="S168" s="1"/>
      <c r="T168" s="1"/>
      <c r="U168" s="1"/>
    </row>
    <row r="169" spans="1:21" ht="15.75" customHeight="1">
      <c r="A169" s="50">
        <v>168</v>
      </c>
      <c r="B169" s="50">
        <v>25845</v>
      </c>
      <c r="C169" s="51" t="s">
        <v>32</v>
      </c>
      <c r="D169" s="52">
        <v>44927</v>
      </c>
      <c r="E169" s="52">
        <v>44931</v>
      </c>
      <c r="F169" s="52">
        <v>44948</v>
      </c>
      <c r="G169" s="51"/>
      <c r="H169" s="51"/>
      <c r="I169" s="53">
        <f t="shared" si="3"/>
        <v>1</v>
      </c>
      <c r="J169" s="1"/>
      <c r="K169" s="1"/>
      <c r="L169" s="1"/>
      <c r="M169" s="1"/>
      <c r="N169" s="1"/>
      <c r="O169" s="1"/>
      <c r="P169" s="1"/>
      <c r="Q169" s="1"/>
      <c r="R169" s="1"/>
      <c r="S169" s="1"/>
      <c r="T169" s="1"/>
      <c r="U169" s="1"/>
    </row>
    <row r="170" spans="1:21" ht="15.75" customHeight="1">
      <c r="A170" s="46">
        <v>169</v>
      </c>
      <c r="B170" s="46">
        <v>11509</v>
      </c>
      <c r="C170" s="47" t="s">
        <v>32</v>
      </c>
      <c r="D170" s="48">
        <v>44946</v>
      </c>
      <c r="E170" s="48">
        <v>44952</v>
      </c>
      <c r="F170" s="48">
        <v>44955</v>
      </c>
      <c r="G170" s="47"/>
      <c r="H170" s="47"/>
      <c r="I170" s="54">
        <f t="shared" si="3"/>
        <v>1</v>
      </c>
      <c r="J170" s="1"/>
      <c r="K170" s="1"/>
      <c r="L170" s="1"/>
      <c r="M170" s="1"/>
      <c r="N170" s="1"/>
      <c r="O170" s="1"/>
      <c r="P170" s="1"/>
      <c r="Q170" s="1"/>
      <c r="R170" s="1"/>
      <c r="S170" s="1"/>
      <c r="T170" s="1"/>
      <c r="U170" s="1"/>
    </row>
    <row r="171" spans="1:21" ht="15.75" customHeight="1">
      <c r="A171" s="50">
        <v>170</v>
      </c>
      <c r="B171" s="50">
        <v>22795</v>
      </c>
      <c r="C171" s="51" t="s">
        <v>33</v>
      </c>
      <c r="D171" s="52">
        <v>45045</v>
      </c>
      <c r="E171" s="52">
        <v>45048</v>
      </c>
      <c r="F171" s="52">
        <v>45065</v>
      </c>
      <c r="G171" s="51"/>
      <c r="H171" s="51"/>
      <c r="I171" s="53">
        <f t="shared" si="3"/>
        <v>1</v>
      </c>
      <c r="J171" s="1"/>
      <c r="K171" s="1"/>
      <c r="L171" s="1"/>
      <c r="M171" s="1"/>
      <c r="N171" s="1"/>
      <c r="O171" s="1"/>
      <c r="P171" s="1"/>
      <c r="Q171" s="1"/>
      <c r="R171" s="1"/>
      <c r="S171" s="1"/>
      <c r="T171" s="1"/>
      <c r="U171" s="1"/>
    </row>
    <row r="172" spans="1:21" ht="15.75" customHeight="1">
      <c r="A172" s="46">
        <v>171</v>
      </c>
      <c r="B172" s="46">
        <v>23283</v>
      </c>
      <c r="C172" s="47" t="s">
        <v>31</v>
      </c>
      <c r="D172" s="48">
        <v>45029</v>
      </c>
      <c r="E172" s="48">
        <v>45034</v>
      </c>
      <c r="F172" s="48">
        <v>45044</v>
      </c>
      <c r="G172" s="47"/>
      <c r="H172" s="47"/>
      <c r="I172" s="54">
        <f t="shared" si="3"/>
        <v>1</v>
      </c>
      <c r="J172" s="1"/>
      <c r="K172" s="1"/>
      <c r="L172" s="1"/>
      <c r="M172" s="1"/>
      <c r="N172" s="1"/>
      <c r="O172" s="1"/>
      <c r="P172" s="1"/>
      <c r="Q172" s="1"/>
      <c r="R172" s="1"/>
      <c r="S172" s="1"/>
      <c r="T172" s="1"/>
      <c r="U172" s="1"/>
    </row>
    <row r="173" spans="1:21" ht="15.75" customHeight="1">
      <c r="A173" s="50">
        <v>172</v>
      </c>
      <c r="B173" s="50">
        <v>29986</v>
      </c>
      <c r="C173" s="51" t="s">
        <v>33</v>
      </c>
      <c r="D173" s="52">
        <v>44989</v>
      </c>
      <c r="E173" s="52">
        <v>44991</v>
      </c>
      <c r="F173" s="52">
        <v>45009</v>
      </c>
      <c r="G173" s="51"/>
      <c r="H173" s="51"/>
      <c r="I173" s="53">
        <f t="shared" si="3"/>
        <v>1</v>
      </c>
      <c r="J173" s="1"/>
      <c r="K173" s="1"/>
      <c r="L173" s="1"/>
      <c r="M173" s="1"/>
      <c r="N173" s="1"/>
      <c r="O173" s="1"/>
      <c r="P173" s="1"/>
      <c r="Q173" s="1"/>
      <c r="R173" s="1"/>
      <c r="S173" s="1"/>
      <c r="T173" s="1"/>
      <c r="U173" s="1"/>
    </row>
    <row r="174" spans="1:21" ht="15.75" customHeight="1">
      <c r="A174" s="46">
        <v>173</v>
      </c>
      <c r="B174" s="46">
        <v>21170</v>
      </c>
      <c r="C174" s="47" t="s">
        <v>49</v>
      </c>
      <c r="D174" s="48">
        <v>45050</v>
      </c>
      <c r="E174" s="48">
        <v>45052</v>
      </c>
      <c r="F174" s="48">
        <v>45064</v>
      </c>
      <c r="G174" s="47"/>
      <c r="H174" s="47"/>
      <c r="I174" s="54">
        <f t="shared" si="3"/>
        <v>1</v>
      </c>
      <c r="J174" s="1"/>
      <c r="K174" s="1"/>
      <c r="L174" s="1"/>
      <c r="M174" s="1"/>
      <c r="N174" s="1"/>
      <c r="O174" s="1"/>
      <c r="P174" s="1"/>
      <c r="Q174" s="1"/>
      <c r="R174" s="1"/>
      <c r="S174" s="1"/>
      <c r="T174" s="1"/>
      <c r="U174" s="1"/>
    </row>
    <row r="175" spans="1:21" ht="15.75" customHeight="1">
      <c r="A175" s="50">
        <v>174</v>
      </c>
      <c r="B175" s="50">
        <v>16096</v>
      </c>
      <c r="C175" s="51" t="s">
        <v>45</v>
      </c>
      <c r="D175" s="52">
        <v>44942</v>
      </c>
      <c r="E175" s="52">
        <v>44946</v>
      </c>
      <c r="F175" s="52">
        <v>44967</v>
      </c>
      <c r="G175" s="51"/>
      <c r="H175" s="51"/>
      <c r="I175" s="53">
        <f t="shared" si="3"/>
        <v>1</v>
      </c>
      <c r="J175" s="1"/>
      <c r="K175" s="1"/>
      <c r="L175" s="1"/>
      <c r="M175" s="1"/>
      <c r="N175" s="1"/>
      <c r="O175" s="1"/>
      <c r="P175" s="1"/>
      <c r="Q175" s="1"/>
      <c r="R175" s="1"/>
      <c r="S175" s="1"/>
      <c r="T175" s="1"/>
      <c r="U175" s="1"/>
    </row>
    <row r="176" spans="1:21" ht="15.75" customHeight="1">
      <c r="A176" s="46">
        <v>175</v>
      </c>
      <c r="B176" s="46">
        <v>26054</v>
      </c>
      <c r="C176" s="47" t="s">
        <v>31</v>
      </c>
      <c r="D176" s="48">
        <v>45066</v>
      </c>
      <c r="E176" s="48">
        <v>45066</v>
      </c>
      <c r="F176" s="47"/>
      <c r="G176" s="47"/>
      <c r="H176" s="47"/>
      <c r="I176" s="54">
        <f t="shared" si="3"/>
        <v>0</v>
      </c>
      <c r="J176" s="1"/>
      <c r="K176" s="1"/>
      <c r="L176" s="1"/>
      <c r="M176" s="1"/>
      <c r="N176" s="1"/>
      <c r="O176" s="1"/>
      <c r="P176" s="1"/>
      <c r="Q176" s="1"/>
      <c r="R176" s="1"/>
      <c r="S176" s="1"/>
      <c r="T176" s="1"/>
      <c r="U176" s="1"/>
    </row>
    <row r="177" spans="1:21" ht="15.75" customHeight="1">
      <c r="A177" s="50">
        <v>176</v>
      </c>
      <c r="B177" s="50">
        <v>29540</v>
      </c>
      <c r="C177" s="51" t="s">
        <v>49</v>
      </c>
      <c r="D177" s="52">
        <v>44956</v>
      </c>
      <c r="E177" s="52">
        <v>44956</v>
      </c>
      <c r="F177" s="51"/>
      <c r="G177" s="51"/>
      <c r="H177" s="51"/>
      <c r="I177" s="53">
        <f t="shared" si="3"/>
        <v>0</v>
      </c>
      <c r="J177" s="1"/>
      <c r="K177" s="1"/>
      <c r="L177" s="1"/>
      <c r="M177" s="1"/>
      <c r="N177" s="1"/>
      <c r="O177" s="1"/>
      <c r="P177" s="1"/>
      <c r="Q177" s="1"/>
      <c r="R177" s="1"/>
      <c r="S177" s="1"/>
      <c r="T177" s="1"/>
      <c r="U177" s="1"/>
    </row>
    <row r="178" spans="1:21" ht="15.75" customHeight="1">
      <c r="A178" s="46">
        <v>177</v>
      </c>
      <c r="B178" s="46">
        <v>26804</v>
      </c>
      <c r="C178" s="47" t="s">
        <v>33</v>
      </c>
      <c r="D178" s="48">
        <v>44970</v>
      </c>
      <c r="E178" s="48">
        <v>44972</v>
      </c>
      <c r="F178" s="48">
        <v>45001</v>
      </c>
      <c r="G178" s="47"/>
      <c r="H178" s="47"/>
      <c r="I178" s="54">
        <f t="shared" si="3"/>
        <v>1</v>
      </c>
      <c r="J178" s="1"/>
      <c r="K178" s="1"/>
      <c r="L178" s="1"/>
      <c r="M178" s="1"/>
      <c r="N178" s="1"/>
      <c r="O178" s="1"/>
      <c r="P178" s="1"/>
      <c r="Q178" s="1"/>
      <c r="R178" s="1"/>
      <c r="S178" s="1"/>
      <c r="T178" s="1"/>
      <c r="U178" s="1"/>
    </row>
    <row r="179" spans="1:21" ht="15.75" customHeight="1">
      <c r="A179" s="50">
        <v>178</v>
      </c>
      <c r="B179" s="50">
        <v>26872</v>
      </c>
      <c r="C179" s="51" t="s">
        <v>49</v>
      </c>
      <c r="D179" s="52">
        <v>44992</v>
      </c>
      <c r="E179" s="52">
        <v>44996</v>
      </c>
      <c r="F179" s="52">
        <v>45019</v>
      </c>
      <c r="G179" s="51"/>
      <c r="H179" s="51"/>
      <c r="I179" s="53">
        <f t="shared" si="3"/>
        <v>1</v>
      </c>
      <c r="J179" s="1"/>
      <c r="K179" s="1"/>
      <c r="L179" s="1"/>
      <c r="M179" s="1"/>
      <c r="N179" s="1"/>
      <c r="O179" s="1"/>
      <c r="P179" s="1"/>
      <c r="Q179" s="1"/>
      <c r="R179" s="1"/>
      <c r="S179" s="1"/>
      <c r="T179" s="1"/>
      <c r="U179" s="1"/>
    </row>
    <row r="180" spans="1:21" ht="15.75" customHeight="1">
      <c r="A180" s="46">
        <v>179</v>
      </c>
      <c r="B180" s="46">
        <v>19221</v>
      </c>
      <c r="C180" s="47" t="s">
        <v>49</v>
      </c>
      <c r="D180" s="48">
        <v>45068</v>
      </c>
      <c r="E180" s="48">
        <v>45070</v>
      </c>
      <c r="F180" s="48">
        <v>45092</v>
      </c>
      <c r="G180" s="47"/>
      <c r="H180" s="47"/>
      <c r="I180" s="54">
        <f t="shared" si="3"/>
        <v>1</v>
      </c>
      <c r="J180" s="1"/>
      <c r="K180" s="1"/>
      <c r="L180" s="1"/>
      <c r="M180" s="1"/>
      <c r="N180" s="1"/>
      <c r="O180" s="1"/>
      <c r="P180" s="1"/>
      <c r="Q180" s="1"/>
      <c r="R180" s="1"/>
      <c r="S180" s="1"/>
      <c r="T180" s="1"/>
      <c r="U180" s="1"/>
    </row>
    <row r="181" spans="1:21" ht="15.75" customHeight="1">
      <c r="A181" s="50">
        <v>180</v>
      </c>
      <c r="B181" s="50">
        <v>21692</v>
      </c>
      <c r="C181" s="51" t="s">
        <v>33</v>
      </c>
      <c r="D181" s="52">
        <v>44997</v>
      </c>
      <c r="E181" s="52">
        <v>45003</v>
      </c>
      <c r="F181" s="52">
        <v>45009</v>
      </c>
      <c r="G181" s="51"/>
      <c r="H181" s="51"/>
      <c r="I181" s="53">
        <f t="shared" si="3"/>
        <v>1</v>
      </c>
      <c r="J181" s="1"/>
      <c r="K181" s="1"/>
      <c r="L181" s="1"/>
      <c r="M181" s="1"/>
      <c r="N181" s="1"/>
      <c r="O181" s="1"/>
      <c r="P181" s="1"/>
      <c r="Q181" s="1"/>
      <c r="R181" s="1"/>
      <c r="S181" s="1"/>
      <c r="T181" s="1"/>
      <c r="U181" s="1"/>
    </row>
    <row r="182" spans="1:21" ht="15.75" customHeight="1">
      <c r="A182" s="46">
        <v>181</v>
      </c>
      <c r="B182" s="46">
        <v>26539</v>
      </c>
      <c r="C182" s="47" t="s">
        <v>49</v>
      </c>
      <c r="D182" s="48">
        <v>44960</v>
      </c>
      <c r="E182" s="48">
        <v>44965</v>
      </c>
      <c r="F182" s="48">
        <v>44978</v>
      </c>
      <c r="G182" s="47"/>
      <c r="H182" s="47"/>
      <c r="I182" s="54">
        <f t="shared" si="3"/>
        <v>1</v>
      </c>
      <c r="J182" s="1"/>
      <c r="K182" s="1"/>
      <c r="L182" s="1"/>
      <c r="M182" s="1"/>
      <c r="N182" s="1"/>
      <c r="O182" s="1"/>
      <c r="P182" s="1"/>
      <c r="Q182" s="1"/>
      <c r="R182" s="1"/>
      <c r="S182" s="1"/>
      <c r="T182" s="1"/>
      <c r="U182" s="1"/>
    </row>
    <row r="183" spans="1:21" ht="15.75" customHeight="1">
      <c r="A183" s="50">
        <v>182</v>
      </c>
      <c r="B183" s="50">
        <v>14078</v>
      </c>
      <c r="C183" s="51" t="s">
        <v>31</v>
      </c>
      <c r="D183" s="52">
        <v>44999</v>
      </c>
      <c r="E183" s="52">
        <v>45001</v>
      </c>
      <c r="F183" s="52">
        <v>45012</v>
      </c>
      <c r="G183" s="51"/>
      <c r="H183" s="51"/>
      <c r="I183" s="53">
        <f t="shared" si="3"/>
        <v>1</v>
      </c>
      <c r="J183" s="1"/>
      <c r="K183" s="1"/>
      <c r="L183" s="1"/>
      <c r="M183" s="1"/>
      <c r="N183" s="1"/>
      <c r="O183" s="1"/>
      <c r="P183" s="1"/>
      <c r="Q183" s="1"/>
      <c r="R183" s="1"/>
      <c r="S183" s="1"/>
      <c r="T183" s="1"/>
      <c r="U183" s="1"/>
    </row>
    <row r="184" spans="1:21" ht="15.75" customHeight="1">
      <c r="A184" s="46">
        <v>183</v>
      </c>
      <c r="B184" s="46">
        <v>12842</v>
      </c>
      <c r="C184" s="47" t="s">
        <v>33</v>
      </c>
      <c r="D184" s="48">
        <v>44992</v>
      </c>
      <c r="E184" s="48">
        <v>44998</v>
      </c>
      <c r="F184" s="48">
        <v>44998</v>
      </c>
      <c r="G184" s="47"/>
      <c r="H184" s="47"/>
      <c r="I184" s="54">
        <f t="shared" si="3"/>
        <v>1</v>
      </c>
      <c r="J184" s="1"/>
      <c r="K184" s="1"/>
      <c r="L184" s="1"/>
      <c r="M184" s="1"/>
      <c r="N184" s="1"/>
      <c r="O184" s="1"/>
      <c r="P184" s="1"/>
      <c r="Q184" s="1"/>
      <c r="R184" s="1"/>
      <c r="S184" s="1"/>
      <c r="T184" s="1"/>
      <c r="U184" s="1"/>
    </row>
    <row r="185" spans="1:21" ht="15.75" customHeight="1">
      <c r="A185" s="50">
        <v>184</v>
      </c>
      <c r="B185" s="50">
        <v>10651</v>
      </c>
      <c r="C185" s="51" t="s">
        <v>32</v>
      </c>
      <c r="D185" s="52">
        <v>44959</v>
      </c>
      <c r="E185" s="52">
        <v>44965</v>
      </c>
      <c r="F185" s="52">
        <v>44975</v>
      </c>
      <c r="G185" s="51"/>
      <c r="H185" s="51"/>
      <c r="I185" s="53">
        <f t="shared" si="3"/>
        <v>1</v>
      </c>
      <c r="J185" s="1"/>
      <c r="K185" s="1"/>
      <c r="L185" s="1"/>
      <c r="M185" s="1"/>
      <c r="N185" s="1"/>
      <c r="O185" s="1"/>
      <c r="P185" s="1"/>
      <c r="Q185" s="1"/>
      <c r="R185" s="1"/>
      <c r="S185" s="1"/>
      <c r="T185" s="1"/>
      <c r="U185" s="1"/>
    </row>
    <row r="186" spans="1:21" ht="15.75" customHeight="1">
      <c r="A186" s="46">
        <v>185</v>
      </c>
      <c r="B186" s="46">
        <v>22613</v>
      </c>
      <c r="C186" s="47" t="s">
        <v>45</v>
      </c>
      <c r="D186" s="48">
        <v>44943</v>
      </c>
      <c r="E186" s="48">
        <v>44949</v>
      </c>
      <c r="F186" s="48">
        <v>44956</v>
      </c>
      <c r="G186" s="47"/>
      <c r="H186" s="47"/>
      <c r="I186" s="54">
        <f t="shared" si="3"/>
        <v>1</v>
      </c>
      <c r="J186" s="1"/>
      <c r="K186" s="1"/>
      <c r="L186" s="1"/>
      <c r="M186" s="1"/>
      <c r="N186" s="1"/>
      <c r="O186" s="1"/>
      <c r="P186" s="1"/>
      <c r="Q186" s="1"/>
      <c r="R186" s="1"/>
      <c r="S186" s="1"/>
      <c r="T186" s="1"/>
      <c r="U186" s="1"/>
    </row>
    <row r="187" spans="1:21" ht="15.75" customHeight="1">
      <c r="A187" s="50">
        <v>186</v>
      </c>
      <c r="B187" s="50">
        <v>10480</v>
      </c>
      <c r="C187" s="51" t="s">
        <v>49</v>
      </c>
      <c r="D187" s="52">
        <v>45010</v>
      </c>
      <c r="E187" s="52">
        <v>45012</v>
      </c>
      <c r="F187" s="52">
        <v>45026</v>
      </c>
      <c r="G187" s="51"/>
      <c r="H187" s="51"/>
      <c r="I187" s="53">
        <f t="shared" si="3"/>
        <v>1</v>
      </c>
      <c r="J187" s="1"/>
      <c r="K187" s="1"/>
      <c r="L187" s="1"/>
      <c r="M187" s="1"/>
      <c r="N187" s="1"/>
      <c r="O187" s="1"/>
      <c r="P187" s="1"/>
      <c r="Q187" s="1"/>
      <c r="R187" s="1"/>
      <c r="S187" s="1"/>
      <c r="T187" s="1"/>
      <c r="U187" s="1"/>
    </row>
    <row r="188" spans="1:21" ht="15.75" customHeight="1">
      <c r="A188" s="46">
        <v>187</v>
      </c>
      <c r="B188" s="46">
        <v>22026</v>
      </c>
      <c r="C188" s="47" t="s">
        <v>49</v>
      </c>
      <c r="D188" s="48">
        <v>45063</v>
      </c>
      <c r="E188" s="48">
        <v>45063</v>
      </c>
      <c r="F188" s="48">
        <v>45067</v>
      </c>
      <c r="G188" s="47"/>
      <c r="H188" s="47"/>
      <c r="I188" s="54">
        <f t="shared" si="3"/>
        <v>1</v>
      </c>
      <c r="J188" s="1"/>
      <c r="K188" s="1"/>
      <c r="L188" s="1"/>
      <c r="M188" s="1"/>
      <c r="N188" s="1"/>
      <c r="O188" s="1"/>
      <c r="P188" s="1"/>
      <c r="Q188" s="1"/>
      <c r="R188" s="1"/>
      <c r="S188" s="1"/>
      <c r="T188" s="1"/>
      <c r="U188" s="1"/>
    </row>
    <row r="189" spans="1:21" ht="15.75" customHeight="1">
      <c r="A189" s="50">
        <v>188</v>
      </c>
      <c r="B189" s="50">
        <v>14073</v>
      </c>
      <c r="C189" s="51" t="s">
        <v>33</v>
      </c>
      <c r="D189" s="52">
        <v>44948</v>
      </c>
      <c r="E189" s="52">
        <v>44952</v>
      </c>
      <c r="F189" s="52">
        <v>44974</v>
      </c>
      <c r="G189" s="51"/>
      <c r="H189" s="51"/>
      <c r="I189" s="53">
        <f t="shared" si="3"/>
        <v>1</v>
      </c>
      <c r="J189" s="1"/>
      <c r="K189" s="1"/>
      <c r="L189" s="1"/>
      <c r="M189" s="1"/>
      <c r="N189" s="1"/>
      <c r="O189" s="1"/>
      <c r="P189" s="1"/>
      <c r="Q189" s="1"/>
      <c r="R189" s="1"/>
      <c r="S189" s="1"/>
      <c r="T189" s="1"/>
      <c r="U189" s="1"/>
    </row>
    <row r="190" spans="1:21" ht="15.75" customHeight="1">
      <c r="A190" s="46">
        <v>189</v>
      </c>
      <c r="B190" s="46">
        <v>23904</v>
      </c>
      <c r="C190" s="47" t="s">
        <v>49</v>
      </c>
      <c r="D190" s="48">
        <v>45061</v>
      </c>
      <c r="E190" s="48">
        <v>45066</v>
      </c>
      <c r="F190" s="48">
        <v>45087</v>
      </c>
      <c r="G190" s="47"/>
      <c r="H190" s="47"/>
      <c r="I190" s="54">
        <f t="shared" si="3"/>
        <v>1</v>
      </c>
      <c r="J190" s="1"/>
      <c r="K190" s="1"/>
      <c r="L190" s="1"/>
      <c r="M190" s="1"/>
      <c r="N190" s="1"/>
      <c r="O190" s="1"/>
      <c r="P190" s="1"/>
      <c r="Q190" s="1"/>
      <c r="R190" s="1"/>
      <c r="S190" s="1"/>
      <c r="T190" s="1"/>
      <c r="U190" s="1"/>
    </row>
    <row r="191" spans="1:21" ht="15.75" customHeight="1">
      <c r="A191" s="50">
        <v>190</v>
      </c>
      <c r="B191" s="50">
        <v>15675</v>
      </c>
      <c r="C191" s="51" t="s">
        <v>33</v>
      </c>
      <c r="D191" s="52">
        <v>45033</v>
      </c>
      <c r="E191" s="52">
        <v>45034</v>
      </c>
      <c r="F191" s="52">
        <v>45040</v>
      </c>
      <c r="G191" s="51"/>
      <c r="H191" s="51"/>
      <c r="I191" s="53">
        <f t="shared" si="3"/>
        <v>1</v>
      </c>
      <c r="J191" s="1"/>
      <c r="K191" s="1"/>
      <c r="L191" s="1"/>
      <c r="M191" s="1"/>
      <c r="N191" s="1"/>
      <c r="O191" s="1"/>
      <c r="P191" s="1"/>
      <c r="Q191" s="1"/>
      <c r="R191" s="1"/>
      <c r="S191" s="1"/>
      <c r="T191" s="1"/>
      <c r="U191" s="1"/>
    </row>
    <row r="192" spans="1:21" ht="15.75" customHeight="1">
      <c r="A192" s="46">
        <v>191</v>
      </c>
      <c r="B192" s="46">
        <v>27106</v>
      </c>
      <c r="C192" s="47" t="s">
        <v>33</v>
      </c>
      <c r="D192" s="48">
        <v>44959</v>
      </c>
      <c r="E192" s="48">
        <v>44960</v>
      </c>
      <c r="F192" s="48">
        <v>44977</v>
      </c>
      <c r="G192" s="47"/>
      <c r="H192" s="47"/>
      <c r="I192" s="54">
        <f t="shared" si="3"/>
        <v>1</v>
      </c>
      <c r="J192" s="1"/>
      <c r="K192" s="1"/>
      <c r="L192" s="1"/>
      <c r="M192" s="1"/>
      <c r="N192" s="1"/>
      <c r="O192" s="1"/>
      <c r="P192" s="1"/>
      <c r="Q192" s="1"/>
      <c r="R192" s="1"/>
      <c r="S192" s="1"/>
      <c r="T192" s="1"/>
      <c r="U192" s="1"/>
    </row>
    <row r="193" spans="1:21" ht="15.75" customHeight="1">
      <c r="A193" s="50">
        <v>192</v>
      </c>
      <c r="B193" s="50">
        <v>16152</v>
      </c>
      <c r="C193" s="51" t="s">
        <v>31</v>
      </c>
      <c r="D193" s="52">
        <v>44992</v>
      </c>
      <c r="E193" s="52">
        <v>44995</v>
      </c>
      <c r="F193" s="52">
        <v>45002</v>
      </c>
      <c r="G193" s="51"/>
      <c r="H193" s="51"/>
      <c r="I193" s="53">
        <f t="shared" si="3"/>
        <v>1</v>
      </c>
      <c r="J193" s="1"/>
      <c r="K193" s="1"/>
      <c r="L193" s="1"/>
      <c r="M193" s="1"/>
      <c r="N193" s="1"/>
      <c r="O193" s="1"/>
      <c r="P193" s="1"/>
      <c r="Q193" s="1"/>
      <c r="R193" s="1"/>
      <c r="S193" s="1"/>
      <c r="T193" s="1"/>
      <c r="U193" s="1"/>
    </row>
    <row r="194" spans="1:21" ht="15.75" customHeight="1">
      <c r="A194" s="46">
        <v>193</v>
      </c>
      <c r="B194" s="46">
        <v>14070</v>
      </c>
      <c r="C194" s="47" t="s">
        <v>49</v>
      </c>
      <c r="D194" s="48">
        <v>45056</v>
      </c>
      <c r="E194" s="48">
        <v>45059</v>
      </c>
      <c r="F194" s="48">
        <v>45063</v>
      </c>
      <c r="G194" s="47"/>
      <c r="H194" s="47"/>
      <c r="I194" s="54">
        <f t="shared" si="3"/>
        <v>1</v>
      </c>
      <c r="J194" s="1"/>
      <c r="K194" s="1"/>
      <c r="L194" s="1"/>
      <c r="M194" s="1"/>
      <c r="N194" s="1"/>
      <c r="O194" s="1"/>
      <c r="P194" s="1"/>
      <c r="Q194" s="1"/>
      <c r="R194" s="1"/>
      <c r="S194" s="1"/>
      <c r="T194" s="1"/>
      <c r="U194" s="1"/>
    </row>
    <row r="195" spans="1:21" ht="15.75" customHeight="1">
      <c r="A195" s="50">
        <v>194</v>
      </c>
      <c r="B195" s="50">
        <v>26656</v>
      </c>
      <c r="C195" s="51" t="s">
        <v>32</v>
      </c>
      <c r="D195" s="52">
        <v>45007</v>
      </c>
      <c r="E195" s="52">
        <v>45013</v>
      </c>
      <c r="F195" s="51"/>
      <c r="G195" s="52">
        <v>45036</v>
      </c>
      <c r="H195" s="52">
        <v>45043</v>
      </c>
      <c r="I195" s="53">
        <f t="shared" si="3"/>
        <v>0</v>
      </c>
      <c r="J195" s="1"/>
      <c r="K195" s="1"/>
      <c r="L195" s="1"/>
      <c r="M195" s="1"/>
      <c r="N195" s="1"/>
      <c r="O195" s="1"/>
      <c r="P195" s="1"/>
      <c r="Q195" s="1"/>
      <c r="R195" s="1"/>
      <c r="S195" s="1"/>
      <c r="T195" s="1"/>
      <c r="U195" s="1"/>
    </row>
    <row r="196" spans="1:21" ht="15.75" customHeight="1">
      <c r="A196" s="46">
        <v>195</v>
      </c>
      <c r="B196" s="46">
        <v>13058</v>
      </c>
      <c r="C196" s="47" t="s">
        <v>31</v>
      </c>
      <c r="D196" s="48">
        <v>45036</v>
      </c>
      <c r="E196" s="48">
        <v>45041</v>
      </c>
      <c r="F196" s="48">
        <v>45048</v>
      </c>
      <c r="G196" s="47"/>
      <c r="H196" s="47"/>
      <c r="I196" s="54">
        <f t="shared" si="3"/>
        <v>1</v>
      </c>
      <c r="J196" s="1"/>
      <c r="K196" s="1"/>
      <c r="L196" s="1"/>
      <c r="M196" s="1"/>
      <c r="N196" s="1"/>
      <c r="O196" s="1"/>
      <c r="P196" s="1"/>
      <c r="Q196" s="1"/>
      <c r="R196" s="1"/>
      <c r="S196" s="1"/>
      <c r="T196" s="1"/>
      <c r="U196" s="1"/>
    </row>
    <row r="197" spans="1:21" ht="15.75" customHeight="1">
      <c r="A197" s="50">
        <v>196</v>
      </c>
      <c r="B197" s="50">
        <v>10555</v>
      </c>
      <c r="C197" s="51" t="s">
        <v>45</v>
      </c>
      <c r="D197" s="52">
        <v>45060</v>
      </c>
      <c r="E197" s="52">
        <v>45066</v>
      </c>
      <c r="F197" s="52">
        <v>45077</v>
      </c>
      <c r="G197" s="52">
        <v>45081</v>
      </c>
      <c r="H197" s="52">
        <v>45084</v>
      </c>
      <c r="I197" s="53">
        <f t="shared" si="3"/>
        <v>1</v>
      </c>
      <c r="J197" s="1"/>
      <c r="K197" s="1"/>
      <c r="L197" s="1"/>
      <c r="M197" s="1"/>
      <c r="N197" s="1"/>
      <c r="O197" s="1"/>
      <c r="P197" s="1"/>
      <c r="Q197" s="1"/>
      <c r="R197" s="1"/>
      <c r="S197" s="1"/>
      <c r="T197" s="1"/>
      <c r="U197" s="1"/>
    </row>
    <row r="198" spans="1:21" ht="15.75" customHeight="1">
      <c r="A198" s="46">
        <v>197</v>
      </c>
      <c r="B198" s="46">
        <v>26967</v>
      </c>
      <c r="C198" s="47" t="s">
        <v>49</v>
      </c>
      <c r="D198" s="48">
        <v>44953</v>
      </c>
      <c r="E198" s="48">
        <v>44957</v>
      </c>
      <c r="F198" s="47"/>
      <c r="G198" s="48">
        <v>44986</v>
      </c>
      <c r="H198" s="48">
        <v>44992</v>
      </c>
      <c r="I198" s="54">
        <f t="shared" si="3"/>
        <v>0</v>
      </c>
      <c r="J198" s="1"/>
      <c r="K198" s="1"/>
      <c r="L198" s="1"/>
      <c r="M198" s="1"/>
      <c r="N198" s="1"/>
      <c r="O198" s="1"/>
      <c r="P198" s="1"/>
      <c r="Q198" s="1"/>
      <c r="R198" s="1"/>
      <c r="S198" s="1"/>
      <c r="T198" s="1"/>
      <c r="U198" s="1"/>
    </row>
    <row r="199" spans="1:21" ht="15.75" customHeight="1">
      <c r="A199" s="50">
        <v>198</v>
      </c>
      <c r="B199" s="50">
        <v>26452</v>
      </c>
      <c r="C199" s="51" t="s">
        <v>49</v>
      </c>
      <c r="D199" s="52">
        <v>44935</v>
      </c>
      <c r="E199" s="52">
        <v>44941</v>
      </c>
      <c r="F199" s="52">
        <v>44962</v>
      </c>
      <c r="G199" s="51"/>
      <c r="H199" s="51"/>
      <c r="I199" s="53">
        <f t="shared" si="3"/>
        <v>1</v>
      </c>
      <c r="J199" s="1"/>
      <c r="K199" s="1"/>
      <c r="L199" s="1"/>
      <c r="M199" s="1"/>
      <c r="N199" s="1"/>
      <c r="O199" s="1"/>
      <c r="P199" s="1"/>
      <c r="Q199" s="1"/>
      <c r="R199" s="1"/>
      <c r="S199" s="1"/>
      <c r="T199" s="1"/>
      <c r="U199" s="1"/>
    </row>
    <row r="200" spans="1:21" ht="15.75" customHeight="1">
      <c r="A200" s="46">
        <v>199</v>
      </c>
      <c r="B200" s="46">
        <v>11417</v>
      </c>
      <c r="C200" s="47" t="s">
        <v>49</v>
      </c>
      <c r="D200" s="48">
        <v>44977</v>
      </c>
      <c r="E200" s="48">
        <v>44980</v>
      </c>
      <c r="F200" s="48">
        <v>44995</v>
      </c>
      <c r="G200" s="47"/>
      <c r="H200" s="47"/>
      <c r="I200" s="54">
        <f t="shared" si="3"/>
        <v>1</v>
      </c>
      <c r="J200" s="1"/>
      <c r="K200" s="1"/>
      <c r="L200" s="1"/>
      <c r="M200" s="1"/>
      <c r="N200" s="1"/>
      <c r="O200" s="1"/>
      <c r="P200" s="1"/>
      <c r="Q200" s="1"/>
      <c r="R200" s="1"/>
      <c r="S200" s="1"/>
      <c r="T200" s="1"/>
      <c r="U200" s="1"/>
    </row>
    <row r="201" spans="1:21" ht="15.75" customHeight="1">
      <c r="A201" s="50">
        <v>200</v>
      </c>
      <c r="B201" s="50">
        <v>11835</v>
      </c>
      <c r="C201" s="51" t="s">
        <v>45</v>
      </c>
      <c r="D201" s="52">
        <v>45038</v>
      </c>
      <c r="E201" s="52">
        <v>45040</v>
      </c>
      <c r="F201" s="52">
        <v>45064</v>
      </c>
      <c r="G201" s="52">
        <v>45066</v>
      </c>
      <c r="H201" s="52">
        <v>45068</v>
      </c>
      <c r="I201" s="53">
        <f t="shared" si="3"/>
        <v>1</v>
      </c>
      <c r="J201" s="1"/>
      <c r="K201" s="1"/>
      <c r="L201" s="1"/>
      <c r="M201" s="1"/>
      <c r="N201" s="1"/>
      <c r="O201" s="1"/>
      <c r="P201" s="1"/>
      <c r="Q201" s="1"/>
      <c r="R201" s="1"/>
      <c r="S201" s="1"/>
      <c r="T201" s="1"/>
      <c r="U201" s="1"/>
    </row>
    <row r="202" spans="1:21" ht="15.75" customHeight="1">
      <c r="A202" s="46">
        <v>201</v>
      </c>
      <c r="B202" s="46">
        <v>20835</v>
      </c>
      <c r="C202" s="47" t="s">
        <v>32</v>
      </c>
      <c r="D202" s="48">
        <v>44937</v>
      </c>
      <c r="E202" s="48">
        <v>44941</v>
      </c>
      <c r="F202" s="48">
        <v>44954</v>
      </c>
      <c r="G202" s="47"/>
      <c r="H202" s="47"/>
      <c r="I202" s="54">
        <f t="shared" si="3"/>
        <v>1</v>
      </c>
      <c r="J202" s="1"/>
      <c r="K202" s="1"/>
      <c r="L202" s="1"/>
      <c r="M202" s="1"/>
      <c r="N202" s="1"/>
      <c r="O202" s="1"/>
      <c r="P202" s="1"/>
      <c r="Q202" s="1"/>
      <c r="R202" s="1"/>
      <c r="S202" s="1"/>
      <c r="T202" s="1"/>
      <c r="U202" s="1"/>
    </row>
    <row r="203" spans="1:21" ht="15.75" customHeight="1">
      <c r="A203" s="50">
        <v>202</v>
      </c>
      <c r="B203" s="50">
        <v>17900</v>
      </c>
      <c r="C203" s="51" t="s">
        <v>49</v>
      </c>
      <c r="D203" s="52">
        <v>45068</v>
      </c>
      <c r="E203" s="52">
        <v>45069</v>
      </c>
      <c r="F203" s="52">
        <v>45077</v>
      </c>
      <c r="G203" s="51"/>
      <c r="H203" s="51"/>
      <c r="I203" s="53">
        <f t="shared" si="3"/>
        <v>1</v>
      </c>
      <c r="J203" s="1"/>
      <c r="K203" s="1"/>
      <c r="L203" s="1"/>
      <c r="M203" s="1"/>
      <c r="N203" s="1"/>
      <c r="O203" s="1"/>
      <c r="P203" s="1"/>
      <c r="Q203" s="1"/>
      <c r="R203" s="1"/>
      <c r="S203" s="1"/>
      <c r="T203" s="1"/>
      <c r="U203" s="1"/>
    </row>
    <row r="204" spans="1:21" ht="15.75" customHeight="1">
      <c r="A204" s="46">
        <v>203</v>
      </c>
      <c r="B204" s="46">
        <v>23659</v>
      </c>
      <c r="C204" s="47" t="s">
        <v>31</v>
      </c>
      <c r="D204" s="48">
        <v>44947</v>
      </c>
      <c r="E204" s="48">
        <v>44951</v>
      </c>
      <c r="F204" s="48">
        <v>44958</v>
      </c>
      <c r="G204" s="47"/>
      <c r="H204" s="47"/>
      <c r="I204" s="54">
        <f t="shared" ref="I204:I267" si="4">IF(ISBLANK(F204),0,1)</f>
        <v>1</v>
      </c>
      <c r="J204" s="1"/>
      <c r="K204" s="1"/>
      <c r="L204" s="1"/>
      <c r="M204" s="1"/>
      <c r="N204" s="1"/>
      <c r="O204" s="1"/>
      <c r="P204" s="1"/>
      <c r="Q204" s="1"/>
      <c r="R204" s="1"/>
      <c r="S204" s="1"/>
      <c r="T204" s="1"/>
      <c r="U204" s="1"/>
    </row>
    <row r="205" spans="1:21" ht="15.75" customHeight="1">
      <c r="A205" s="50">
        <v>204</v>
      </c>
      <c r="B205" s="50">
        <v>22717</v>
      </c>
      <c r="C205" s="51" t="s">
        <v>33</v>
      </c>
      <c r="D205" s="52">
        <v>45041</v>
      </c>
      <c r="E205" s="52">
        <v>45044</v>
      </c>
      <c r="F205" s="52">
        <v>45061</v>
      </c>
      <c r="G205" s="51"/>
      <c r="H205" s="51"/>
      <c r="I205" s="53">
        <f t="shared" si="4"/>
        <v>1</v>
      </c>
      <c r="J205" s="1"/>
      <c r="K205" s="1"/>
      <c r="L205" s="1"/>
      <c r="M205" s="1"/>
      <c r="N205" s="1"/>
      <c r="O205" s="1"/>
      <c r="P205" s="1"/>
      <c r="Q205" s="1"/>
      <c r="R205" s="1"/>
      <c r="S205" s="1"/>
      <c r="T205" s="1"/>
      <c r="U205" s="1"/>
    </row>
    <row r="206" spans="1:21" ht="15.75" customHeight="1">
      <c r="A206" s="46">
        <v>205</v>
      </c>
      <c r="B206" s="46">
        <v>10886</v>
      </c>
      <c r="C206" s="47" t="s">
        <v>31</v>
      </c>
      <c r="D206" s="48">
        <v>44962</v>
      </c>
      <c r="E206" s="48">
        <v>44964</v>
      </c>
      <c r="F206" s="48">
        <v>44990</v>
      </c>
      <c r="G206" s="47"/>
      <c r="H206" s="47"/>
      <c r="I206" s="54">
        <f t="shared" si="4"/>
        <v>1</v>
      </c>
      <c r="J206" s="1"/>
      <c r="K206" s="1"/>
      <c r="L206" s="1"/>
      <c r="M206" s="1"/>
      <c r="N206" s="1"/>
      <c r="O206" s="1"/>
      <c r="P206" s="1"/>
      <c r="Q206" s="1"/>
      <c r="R206" s="1"/>
      <c r="S206" s="1"/>
      <c r="T206" s="1"/>
      <c r="U206" s="1"/>
    </row>
    <row r="207" spans="1:21" ht="15.75" customHeight="1">
      <c r="A207" s="50">
        <v>206</v>
      </c>
      <c r="B207" s="50">
        <v>14967</v>
      </c>
      <c r="C207" s="51" t="s">
        <v>49</v>
      </c>
      <c r="D207" s="52">
        <v>45046</v>
      </c>
      <c r="E207" s="52">
        <v>45048</v>
      </c>
      <c r="F207" s="52">
        <v>45059</v>
      </c>
      <c r="G207" s="51"/>
      <c r="H207" s="51"/>
      <c r="I207" s="53">
        <f t="shared" si="4"/>
        <v>1</v>
      </c>
      <c r="J207" s="1"/>
      <c r="K207" s="1"/>
      <c r="L207" s="1"/>
      <c r="M207" s="1"/>
      <c r="N207" s="1"/>
      <c r="O207" s="1"/>
      <c r="P207" s="1"/>
      <c r="Q207" s="1"/>
      <c r="R207" s="1"/>
      <c r="S207" s="1"/>
      <c r="T207" s="1"/>
      <c r="U207" s="1"/>
    </row>
    <row r="208" spans="1:21" ht="15.75" customHeight="1">
      <c r="A208" s="46">
        <v>207</v>
      </c>
      <c r="B208" s="46">
        <v>13901</v>
      </c>
      <c r="C208" s="47" t="s">
        <v>49</v>
      </c>
      <c r="D208" s="48">
        <v>44932</v>
      </c>
      <c r="E208" s="48">
        <v>44938</v>
      </c>
      <c r="F208" s="48">
        <v>44949</v>
      </c>
      <c r="G208" s="47"/>
      <c r="H208" s="47"/>
      <c r="I208" s="54">
        <f t="shared" si="4"/>
        <v>1</v>
      </c>
      <c r="J208" s="1"/>
      <c r="K208" s="1"/>
      <c r="L208" s="1"/>
      <c r="M208" s="1"/>
      <c r="N208" s="1"/>
      <c r="O208" s="1"/>
      <c r="P208" s="1"/>
      <c r="Q208" s="1"/>
      <c r="R208" s="1"/>
      <c r="S208" s="1"/>
      <c r="T208" s="1"/>
      <c r="U208" s="1"/>
    </row>
    <row r="209" spans="1:21" ht="15.75" customHeight="1">
      <c r="A209" s="50">
        <v>208</v>
      </c>
      <c r="B209" s="50">
        <v>20720</v>
      </c>
      <c r="C209" s="51" t="s">
        <v>33</v>
      </c>
      <c r="D209" s="52">
        <v>44983</v>
      </c>
      <c r="E209" s="52">
        <v>44983</v>
      </c>
      <c r="F209" s="52">
        <v>45009</v>
      </c>
      <c r="G209" s="51"/>
      <c r="H209" s="51"/>
      <c r="I209" s="53">
        <f t="shared" si="4"/>
        <v>1</v>
      </c>
      <c r="J209" s="1"/>
      <c r="K209" s="1"/>
      <c r="L209" s="1"/>
      <c r="M209" s="1"/>
      <c r="N209" s="1"/>
      <c r="O209" s="1"/>
      <c r="P209" s="1"/>
      <c r="Q209" s="1"/>
      <c r="R209" s="1"/>
      <c r="S209" s="1"/>
      <c r="T209" s="1"/>
      <c r="U209" s="1"/>
    </row>
    <row r="210" spans="1:21" ht="15.75" customHeight="1">
      <c r="A210" s="46">
        <v>209</v>
      </c>
      <c r="B210" s="46">
        <v>20573</v>
      </c>
      <c r="C210" s="47" t="s">
        <v>33</v>
      </c>
      <c r="D210" s="48">
        <v>45067</v>
      </c>
      <c r="E210" s="48">
        <v>45069</v>
      </c>
      <c r="F210" s="48">
        <v>45071</v>
      </c>
      <c r="G210" s="48">
        <v>45086</v>
      </c>
      <c r="H210" s="48">
        <v>45093</v>
      </c>
      <c r="I210" s="54">
        <f t="shared" si="4"/>
        <v>1</v>
      </c>
      <c r="J210" s="1"/>
      <c r="K210" s="1"/>
      <c r="L210" s="1"/>
      <c r="M210" s="1"/>
      <c r="N210" s="1"/>
      <c r="O210" s="1"/>
      <c r="P210" s="1"/>
      <c r="Q210" s="1"/>
      <c r="R210" s="1"/>
      <c r="S210" s="1"/>
      <c r="T210" s="1"/>
      <c r="U210" s="1"/>
    </row>
    <row r="211" spans="1:21" ht="15.75" customHeight="1">
      <c r="A211" s="50">
        <v>210</v>
      </c>
      <c r="B211" s="50">
        <v>15293</v>
      </c>
      <c r="C211" s="51" t="s">
        <v>45</v>
      </c>
      <c r="D211" s="52">
        <v>45017</v>
      </c>
      <c r="E211" s="52">
        <v>45023</v>
      </c>
      <c r="F211" s="52">
        <v>45034</v>
      </c>
      <c r="G211" s="51"/>
      <c r="H211" s="51"/>
      <c r="I211" s="53">
        <f t="shared" si="4"/>
        <v>1</v>
      </c>
      <c r="J211" s="1"/>
      <c r="K211" s="1"/>
      <c r="L211" s="1"/>
      <c r="M211" s="1"/>
      <c r="N211" s="1"/>
      <c r="O211" s="1"/>
      <c r="P211" s="1"/>
      <c r="Q211" s="1"/>
      <c r="R211" s="1"/>
      <c r="S211" s="1"/>
      <c r="T211" s="1"/>
      <c r="U211" s="1"/>
    </row>
    <row r="212" spans="1:21" ht="15.75" customHeight="1">
      <c r="A212" s="46">
        <v>211</v>
      </c>
      <c r="B212" s="46">
        <v>10763</v>
      </c>
      <c r="C212" s="47" t="s">
        <v>32</v>
      </c>
      <c r="D212" s="48">
        <v>45023</v>
      </c>
      <c r="E212" s="48">
        <v>45023</v>
      </c>
      <c r="F212" s="48">
        <v>45028</v>
      </c>
      <c r="G212" s="47"/>
      <c r="H212" s="47"/>
      <c r="I212" s="54">
        <f t="shared" si="4"/>
        <v>1</v>
      </c>
      <c r="J212" s="1"/>
      <c r="K212" s="1"/>
      <c r="L212" s="1"/>
      <c r="M212" s="1"/>
      <c r="N212" s="1"/>
      <c r="O212" s="1"/>
      <c r="P212" s="1"/>
      <c r="Q212" s="1"/>
      <c r="R212" s="1"/>
      <c r="S212" s="1"/>
      <c r="T212" s="1"/>
      <c r="U212" s="1"/>
    </row>
    <row r="213" spans="1:21" ht="15.75" customHeight="1">
      <c r="A213" s="50">
        <v>212</v>
      </c>
      <c r="B213" s="50">
        <v>21495</v>
      </c>
      <c r="C213" s="51" t="s">
        <v>31</v>
      </c>
      <c r="D213" s="52">
        <v>44979</v>
      </c>
      <c r="E213" s="52">
        <v>44984</v>
      </c>
      <c r="F213" s="51"/>
      <c r="G213" s="51"/>
      <c r="H213" s="51"/>
      <c r="I213" s="53">
        <f t="shared" si="4"/>
        <v>0</v>
      </c>
      <c r="J213" s="1"/>
      <c r="K213" s="1"/>
      <c r="L213" s="1"/>
      <c r="M213" s="1"/>
      <c r="N213" s="1"/>
      <c r="O213" s="1"/>
      <c r="P213" s="1"/>
      <c r="Q213" s="1"/>
      <c r="R213" s="1"/>
      <c r="S213" s="1"/>
      <c r="T213" s="1"/>
      <c r="U213" s="1"/>
    </row>
    <row r="214" spans="1:21" ht="15.75" customHeight="1">
      <c r="A214" s="46">
        <v>213</v>
      </c>
      <c r="B214" s="46">
        <v>23088</v>
      </c>
      <c r="C214" s="47" t="s">
        <v>32</v>
      </c>
      <c r="D214" s="48">
        <v>45055</v>
      </c>
      <c r="E214" s="48">
        <v>45055</v>
      </c>
      <c r="F214" s="48">
        <v>45062</v>
      </c>
      <c r="G214" s="47"/>
      <c r="H214" s="47"/>
      <c r="I214" s="54">
        <f t="shared" si="4"/>
        <v>1</v>
      </c>
      <c r="J214" s="1"/>
      <c r="K214" s="1"/>
      <c r="L214" s="1"/>
      <c r="M214" s="1"/>
      <c r="N214" s="1"/>
      <c r="O214" s="1"/>
      <c r="P214" s="1"/>
      <c r="Q214" s="1"/>
      <c r="R214" s="1"/>
      <c r="S214" s="1"/>
      <c r="T214" s="1"/>
      <c r="U214" s="1"/>
    </row>
    <row r="215" spans="1:21" ht="15.75" customHeight="1">
      <c r="A215" s="50">
        <v>214</v>
      </c>
      <c r="B215" s="50">
        <v>17113</v>
      </c>
      <c r="C215" s="51" t="s">
        <v>45</v>
      </c>
      <c r="D215" s="52">
        <v>45031</v>
      </c>
      <c r="E215" s="52">
        <v>45036</v>
      </c>
      <c r="F215" s="51"/>
      <c r="G215" s="51"/>
      <c r="H215" s="51"/>
      <c r="I215" s="53">
        <f t="shared" si="4"/>
        <v>0</v>
      </c>
      <c r="J215" s="1"/>
      <c r="K215" s="1"/>
      <c r="L215" s="1"/>
      <c r="M215" s="1"/>
      <c r="N215" s="1"/>
      <c r="O215" s="1"/>
      <c r="P215" s="1"/>
      <c r="Q215" s="1"/>
      <c r="R215" s="1"/>
      <c r="S215" s="1"/>
      <c r="T215" s="1"/>
      <c r="U215" s="1"/>
    </row>
    <row r="216" spans="1:21" ht="15.75" customHeight="1">
      <c r="A216" s="46">
        <v>215</v>
      </c>
      <c r="B216" s="46">
        <v>11016</v>
      </c>
      <c r="C216" s="47" t="s">
        <v>45</v>
      </c>
      <c r="D216" s="48">
        <v>45014</v>
      </c>
      <c r="E216" s="48">
        <v>45016</v>
      </c>
      <c r="F216" s="47"/>
      <c r="G216" s="48">
        <v>45038</v>
      </c>
      <c r="H216" s="48">
        <v>45043</v>
      </c>
      <c r="I216" s="54">
        <f t="shared" si="4"/>
        <v>0</v>
      </c>
      <c r="J216" s="1"/>
      <c r="K216" s="1"/>
      <c r="L216" s="1"/>
      <c r="M216" s="1"/>
      <c r="N216" s="1"/>
      <c r="O216" s="1"/>
      <c r="P216" s="1"/>
      <c r="Q216" s="1"/>
      <c r="R216" s="1"/>
      <c r="S216" s="1"/>
      <c r="T216" s="1"/>
      <c r="U216" s="1"/>
    </row>
    <row r="217" spans="1:21" ht="15.75" customHeight="1">
      <c r="A217" s="50">
        <v>216</v>
      </c>
      <c r="B217" s="50">
        <v>21409</v>
      </c>
      <c r="C217" s="51" t="s">
        <v>33</v>
      </c>
      <c r="D217" s="52">
        <v>45034</v>
      </c>
      <c r="E217" s="52">
        <v>45035</v>
      </c>
      <c r="F217" s="52">
        <v>45049</v>
      </c>
      <c r="G217" s="51"/>
      <c r="H217" s="51"/>
      <c r="I217" s="53">
        <f t="shared" si="4"/>
        <v>1</v>
      </c>
      <c r="J217" s="1"/>
      <c r="K217" s="1"/>
      <c r="L217" s="1"/>
      <c r="M217" s="1"/>
      <c r="N217" s="1"/>
      <c r="O217" s="1"/>
      <c r="P217" s="1"/>
      <c r="Q217" s="1"/>
      <c r="R217" s="1"/>
      <c r="S217" s="1"/>
      <c r="T217" s="1"/>
      <c r="U217" s="1"/>
    </row>
    <row r="218" spans="1:21" ht="15.75" customHeight="1">
      <c r="A218" s="46">
        <v>217</v>
      </c>
      <c r="B218" s="46">
        <v>29076</v>
      </c>
      <c r="C218" s="47" t="s">
        <v>45</v>
      </c>
      <c r="D218" s="48">
        <v>45040</v>
      </c>
      <c r="E218" s="48">
        <v>45043</v>
      </c>
      <c r="F218" s="47"/>
      <c r="G218" s="47"/>
      <c r="H218" s="47"/>
      <c r="I218" s="54">
        <f t="shared" si="4"/>
        <v>0</v>
      </c>
      <c r="J218" s="1"/>
      <c r="K218" s="1"/>
      <c r="L218" s="1"/>
      <c r="M218" s="1"/>
      <c r="N218" s="1"/>
      <c r="O218" s="1"/>
      <c r="P218" s="1"/>
      <c r="Q218" s="1"/>
      <c r="R218" s="1"/>
      <c r="S218" s="1"/>
      <c r="T218" s="1"/>
      <c r="U218" s="1"/>
    </row>
    <row r="219" spans="1:21" ht="15.75" customHeight="1">
      <c r="A219" s="50">
        <v>218</v>
      </c>
      <c r="B219" s="50">
        <v>14150</v>
      </c>
      <c r="C219" s="51" t="s">
        <v>49</v>
      </c>
      <c r="D219" s="52">
        <v>45005</v>
      </c>
      <c r="E219" s="52">
        <v>45008</v>
      </c>
      <c r="F219" s="52">
        <v>45011</v>
      </c>
      <c r="G219" s="51"/>
      <c r="H219" s="51"/>
      <c r="I219" s="53">
        <f t="shared" si="4"/>
        <v>1</v>
      </c>
      <c r="J219" s="1"/>
      <c r="K219" s="1"/>
      <c r="L219" s="1"/>
      <c r="M219" s="1"/>
      <c r="N219" s="1"/>
      <c r="O219" s="1"/>
      <c r="P219" s="1"/>
      <c r="Q219" s="1"/>
      <c r="R219" s="1"/>
      <c r="S219" s="1"/>
      <c r="T219" s="1"/>
      <c r="U219" s="1"/>
    </row>
    <row r="220" spans="1:21" ht="15.75" customHeight="1">
      <c r="A220" s="46">
        <v>219</v>
      </c>
      <c r="B220" s="46">
        <v>16870</v>
      </c>
      <c r="C220" s="47" t="s">
        <v>32</v>
      </c>
      <c r="D220" s="48">
        <v>44969</v>
      </c>
      <c r="E220" s="48">
        <v>44972</v>
      </c>
      <c r="F220" s="48">
        <v>44998</v>
      </c>
      <c r="G220" s="47"/>
      <c r="H220" s="47"/>
      <c r="I220" s="54">
        <f t="shared" si="4"/>
        <v>1</v>
      </c>
      <c r="J220" s="1"/>
      <c r="K220" s="1"/>
      <c r="L220" s="1"/>
      <c r="M220" s="1"/>
      <c r="N220" s="1"/>
      <c r="O220" s="1"/>
      <c r="P220" s="1"/>
      <c r="Q220" s="1"/>
      <c r="R220" s="1"/>
      <c r="S220" s="1"/>
      <c r="T220" s="1"/>
      <c r="U220" s="1"/>
    </row>
    <row r="221" spans="1:21" ht="15.75" customHeight="1">
      <c r="A221" s="50">
        <v>220</v>
      </c>
      <c r="B221" s="50">
        <v>23368</v>
      </c>
      <c r="C221" s="51" t="s">
        <v>45</v>
      </c>
      <c r="D221" s="52">
        <v>45005</v>
      </c>
      <c r="E221" s="52">
        <v>45007</v>
      </c>
      <c r="F221" s="52">
        <v>45020</v>
      </c>
      <c r="G221" s="51"/>
      <c r="H221" s="51"/>
      <c r="I221" s="53">
        <f t="shared" si="4"/>
        <v>1</v>
      </c>
      <c r="J221" s="1"/>
      <c r="K221" s="1"/>
      <c r="L221" s="1"/>
      <c r="M221" s="1"/>
      <c r="N221" s="1"/>
      <c r="O221" s="1"/>
      <c r="P221" s="1"/>
      <c r="Q221" s="1"/>
      <c r="R221" s="1"/>
      <c r="S221" s="1"/>
      <c r="T221" s="1"/>
      <c r="U221" s="1"/>
    </row>
    <row r="222" spans="1:21" ht="15.75" customHeight="1">
      <c r="A222" s="46">
        <v>221</v>
      </c>
      <c r="B222" s="46">
        <v>28671</v>
      </c>
      <c r="C222" s="47" t="s">
        <v>32</v>
      </c>
      <c r="D222" s="48">
        <v>44958</v>
      </c>
      <c r="E222" s="48">
        <v>44961</v>
      </c>
      <c r="F222" s="48">
        <v>44970</v>
      </c>
      <c r="G222" s="47"/>
      <c r="H222" s="47"/>
      <c r="I222" s="54">
        <f t="shared" si="4"/>
        <v>1</v>
      </c>
      <c r="J222" s="1"/>
      <c r="K222" s="1"/>
      <c r="L222" s="1"/>
      <c r="M222" s="1"/>
      <c r="N222" s="1"/>
      <c r="O222" s="1"/>
      <c r="P222" s="1"/>
      <c r="Q222" s="1"/>
      <c r="R222" s="1"/>
      <c r="S222" s="1"/>
      <c r="T222" s="1"/>
      <c r="U222" s="1"/>
    </row>
    <row r="223" spans="1:21" ht="15.75" customHeight="1">
      <c r="A223" s="50">
        <v>222</v>
      </c>
      <c r="B223" s="50">
        <v>23485</v>
      </c>
      <c r="C223" s="51" t="s">
        <v>49</v>
      </c>
      <c r="D223" s="52">
        <v>45071</v>
      </c>
      <c r="E223" s="52">
        <v>45074</v>
      </c>
      <c r="F223" s="52">
        <v>45085</v>
      </c>
      <c r="G223" s="51"/>
      <c r="H223" s="51"/>
      <c r="I223" s="53">
        <f t="shared" si="4"/>
        <v>1</v>
      </c>
      <c r="J223" s="1"/>
      <c r="K223" s="1"/>
      <c r="L223" s="1"/>
      <c r="M223" s="1"/>
      <c r="N223" s="1"/>
      <c r="O223" s="1"/>
      <c r="P223" s="1"/>
      <c r="Q223" s="1"/>
      <c r="R223" s="1"/>
      <c r="S223" s="1"/>
      <c r="T223" s="1"/>
      <c r="U223" s="1"/>
    </row>
    <row r="224" spans="1:21" ht="15.75" customHeight="1">
      <c r="A224" s="46">
        <v>223</v>
      </c>
      <c r="B224" s="46">
        <v>17987</v>
      </c>
      <c r="C224" s="47" t="s">
        <v>31</v>
      </c>
      <c r="D224" s="48">
        <v>45030</v>
      </c>
      <c r="E224" s="48">
        <v>45034</v>
      </c>
      <c r="F224" s="48">
        <v>45043</v>
      </c>
      <c r="G224" s="47"/>
      <c r="H224" s="47"/>
      <c r="I224" s="54">
        <f t="shared" si="4"/>
        <v>1</v>
      </c>
      <c r="J224" s="1"/>
      <c r="K224" s="1"/>
      <c r="L224" s="1"/>
      <c r="M224" s="1"/>
      <c r="N224" s="1"/>
      <c r="O224" s="1"/>
      <c r="P224" s="1"/>
      <c r="Q224" s="1"/>
      <c r="R224" s="1"/>
      <c r="S224" s="1"/>
      <c r="T224" s="1"/>
      <c r="U224" s="1"/>
    </row>
    <row r="225" spans="1:21" ht="15.75" customHeight="1">
      <c r="A225" s="50">
        <v>224</v>
      </c>
      <c r="B225" s="50">
        <v>26280</v>
      </c>
      <c r="C225" s="51" t="s">
        <v>49</v>
      </c>
      <c r="D225" s="52">
        <v>45006</v>
      </c>
      <c r="E225" s="52">
        <v>45009</v>
      </c>
      <c r="F225" s="52">
        <v>45016</v>
      </c>
      <c r="G225" s="51"/>
      <c r="H225" s="51"/>
      <c r="I225" s="53">
        <f t="shared" si="4"/>
        <v>1</v>
      </c>
      <c r="J225" s="1"/>
      <c r="K225" s="1"/>
      <c r="L225" s="1"/>
      <c r="M225" s="1"/>
      <c r="N225" s="1"/>
      <c r="O225" s="1"/>
      <c r="P225" s="1"/>
      <c r="Q225" s="1"/>
      <c r="R225" s="1"/>
      <c r="S225" s="1"/>
      <c r="T225" s="1"/>
      <c r="U225" s="1"/>
    </row>
    <row r="226" spans="1:21" ht="15.75" customHeight="1">
      <c r="A226" s="46">
        <v>225</v>
      </c>
      <c r="B226" s="46">
        <v>14689</v>
      </c>
      <c r="C226" s="47" t="s">
        <v>49</v>
      </c>
      <c r="D226" s="48">
        <v>45056</v>
      </c>
      <c r="E226" s="48">
        <v>45057</v>
      </c>
      <c r="F226" s="48">
        <v>45061</v>
      </c>
      <c r="G226" s="47"/>
      <c r="H226" s="47"/>
      <c r="I226" s="54">
        <f t="shared" si="4"/>
        <v>1</v>
      </c>
      <c r="J226" s="1"/>
      <c r="K226" s="1"/>
      <c r="L226" s="1"/>
      <c r="M226" s="1"/>
      <c r="N226" s="1"/>
      <c r="O226" s="1"/>
      <c r="P226" s="1"/>
      <c r="Q226" s="1"/>
      <c r="R226" s="1"/>
      <c r="S226" s="1"/>
      <c r="T226" s="1"/>
      <c r="U226" s="1"/>
    </row>
    <row r="227" spans="1:21" ht="15.75" customHeight="1">
      <c r="A227" s="50">
        <v>226</v>
      </c>
      <c r="B227" s="50">
        <v>22863</v>
      </c>
      <c r="C227" s="51" t="s">
        <v>31</v>
      </c>
      <c r="D227" s="52">
        <v>44978</v>
      </c>
      <c r="E227" s="52">
        <v>44984</v>
      </c>
      <c r="F227" s="51"/>
      <c r="G227" s="52">
        <v>45005</v>
      </c>
      <c r="H227" s="52">
        <v>45008</v>
      </c>
      <c r="I227" s="53">
        <f t="shared" si="4"/>
        <v>0</v>
      </c>
      <c r="J227" s="1"/>
      <c r="K227" s="1"/>
      <c r="L227" s="1"/>
      <c r="M227" s="1"/>
      <c r="N227" s="1"/>
      <c r="O227" s="1"/>
      <c r="P227" s="1"/>
      <c r="Q227" s="1"/>
      <c r="R227" s="1"/>
      <c r="S227" s="1"/>
      <c r="T227" s="1"/>
      <c r="U227" s="1"/>
    </row>
    <row r="228" spans="1:21" ht="15.75" customHeight="1">
      <c r="A228" s="46">
        <v>227</v>
      </c>
      <c r="B228" s="46">
        <v>22388</v>
      </c>
      <c r="C228" s="47" t="s">
        <v>31</v>
      </c>
      <c r="D228" s="48">
        <v>45071</v>
      </c>
      <c r="E228" s="48">
        <v>45075</v>
      </c>
      <c r="F228" s="48">
        <v>45078</v>
      </c>
      <c r="G228" s="47"/>
      <c r="H228" s="47"/>
      <c r="I228" s="54">
        <f t="shared" si="4"/>
        <v>1</v>
      </c>
      <c r="J228" s="1"/>
      <c r="K228" s="1"/>
      <c r="L228" s="1"/>
      <c r="M228" s="1"/>
      <c r="N228" s="1"/>
      <c r="O228" s="1"/>
      <c r="P228" s="1"/>
      <c r="Q228" s="1"/>
      <c r="R228" s="1"/>
      <c r="S228" s="1"/>
      <c r="T228" s="1"/>
      <c r="U228" s="1"/>
    </row>
    <row r="229" spans="1:21" ht="15.75" customHeight="1">
      <c r="A229" s="50">
        <v>228</v>
      </c>
      <c r="B229" s="50">
        <v>14375</v>
      </c>
      <c r="C229" s="51" t="s">
        <v>33</v>
      </c>
      <c r="D229" s="52">
        <v>45065</v>
      </c>
      <c r="E229" s="52">
        <v>45065</v>
      </c>
      <c r="F229" s="52">
        <v>45065</v>
      </c>
      <c r="G229" s="51"/>
      <c r="H229" s="51"/>
      <c r="I229" s="53">
        <f t="shared" si="4"/>
        <v>1</v>
      </c>
      <c r="J229" s="1"/>
      <c r="K229" s="1"/>
      <c r="L229" s="1"/>
      <c r="M229" s="1"/>
      <c r="N229" s="1"/>
      <c r="O229" s="1"/>
      <c r="P229" s="1"/>
      <c r="Q229" s="1"/>
      <c r="R229" s="1"/>
      <c r="S229" s="1"/>
      <c r="T229" s="1"/>
      <c r="U229" s="1"/>
    </row>
    <row r="230" spans="1:21" ht="15.75" customHeight="1">
      <c r="A230" s="46">
        <v>229</v>
      </c>
      <c r="B230" s="46">
        <v>26682</v>
      </c>
      <c r="C230" s="47" t="s">
        <v>45</v>
      </c>
      <c r="D230" s="48">
        <v>44947</v>
      </c>
      <c r="E230" s="48">
        <v>44948</v>
      </c>
      <c r="F230" s="48">
        <v>44965</v>
      </c>
      <c r="G230" s="47"/>
      <c r="H230" s="47"/>
      <c r="I230" s="54">
        <f t="shared" si="4"/>
        <v>1</v>
      </c>
      <c r="J230" s="1"/>
      <c r="K230" s="1"/>
      <c r="L230" s="1"/>
      <c r="M230" s="1"/>
      <c r="N230" s="1"/>
      <c r="O230" s="1"/>
      <c r="P230" s="1"/>
      <c r="Q230" s="1"/>
      <c r="R230" s="1"/>
      <c r="S230" s="1"/>
      <c r="T230" s="1"/>
      <c r="U230" s="1"/>
    </row>
    <row r="231" spans="1:21" ht="15.75" customHeight="1">
      <c r="A231" s="50">
        <v>230</v>
      </c>
      <c r="B231" s="50">
        <v>24535</v>
      </c>
      <c r="C231" s="51" t="s">
        <v>45</v>
      </c>
      <c r="D231" s="52">
        <v>45032</v>
      </c>
      <c r="E231" s="52">
        <v>45033</v>
      </c>
      <c r="F231" s="52">
        <v>45056</v>
      </c>
      <c r="G231" s="51"/>
      <c r="H231" s="51"/>
      <c r="I231" s="53">
        <f t="shared" si="4"/>
        <v>1</v>
      </c>
      <c r="J231" s="1"/>
      <c r="K231" s="1"/>
      <c r="L231" s="1"/>
      <c r="M231" s="1"/>
      <c r="N231" s="1"/>
      <c r="O231" s="1"/>
      <c r="P231" s="1"/>
      <c r="Q231" s="1"/>
      <c r="R231" s="1"/>
      <c r="S231" s="1"/>
      <c r="T231" s="1"/>
      <c r="U231" s="1"/>
    </row>
    <row r="232" spans="1:21" ht="15.75" customHeight="1">
      <c r="A232" s="46">
        <v>231</v>
      </c>
      <c r="B232" s="46">
        <v>17373</v>
      </c>
      <c r="C232" s="47" t="s">
        <v>32</v>
      </c>
      <c r="D232" s="48">
        <v>45046</v>
      </c>
      <c r="E232" s="48">
        <v>45049</v>
      </c>
      <c r="F232" s="48">
        <v>45061</v>
      </c>
      <c r="G232" s="48">
        <v>45072</v>
      </c>
      <c r="H232" s="48">
        <v>45077</v>
      </c>
      <c r="I232" s="54">
        <f t="shared" si="4"/>
        <v>1</v>
      </c>
      <c r="J232" s="1"/>
      <c r="K232" s="1"/>
      <c r="L232" s="1"/>
      <c r="M232" s="1"/>
      <c r="N232" s="1"/>
      <c r="O232" s="1"/>
      <c r="P232" s="1"/>
      <c r="Q232" s="1"/>
      <c r="R232" s="1"/>
      <c r="S232" s="1"/>
      <c r="T232" s="1"/>
      <c r="U232" s="1"/>
    </row>
    <row r="233" spans="1:21" ht="15.75" customHeight="1">
      <c r="A233" s="50">
        <v>232</v>
      </c>
      <c r="B233" s="50">
        <v>16872</v>
      </c>
      <c r="C233" s="51" t="s">
        <v>32</v>
      </c>
      <c r="D233" s="52">
        <v>45045</v>
      </c>
      <c r="E233" s="52">
        <v>45047</v>
      </c>
      <c r="F233" s="52">
        <v>45051</v>
      </c>
      <c r="G233" s="51"/>
      <c r="H233" s="51"/>
      <c r="I233" s="53">
        <f t="shared" si="4"/>
        <v>1</v>
      </c>
      <c r="J233" s="1"/>
      <c r="K233" s="1"/>
      <c r="L233" s="1"/>
      <c r="M233" s="1"/>
      <c r="N233" s="1"/>
      <c r="O233" s="1"/>
      <c r="P233" s="1"/>
      <c r="Q233" s="1"/>
      <c r="R233" s="1"/>
      <c r="S233" s="1"/>
      <c r="T233" s="1"/>
      <c r="U233" s="1"/>
    </row>
    <row r="234" spans="1:21" ht="15.75" customHeight="1">
      <c r="A234" s="46">
        <v>233</v>
      </c>
      <c r="B234" s="46">
        <v>14775</v>
      </c>
      <c r="C234" s="47" t="s">
        <v>32</v>
      </c>
      <c r="D234" s="48">
        <v>44944</v>
      </c>
      <c r="E234" s="48">
        <v>44948</v>
      </c>
      <c r="F234" s="48">
        <v>44949</v>
      </c>
      <c r="G234" s="47"/>
      <c r="H234" s="47"/>
      <c r="I234" s="54">
        <f t="shared" si="4"/>
        <v>1</v>
      </c>
      <c r="J234" s="1"/>
      <c r="K234" s="1"/>
      <c r="L234" s="1"/>
      <c r="M234" s="1"/>
      <c r="N234" s="1"/>
      <c r="O234" s="1"/>
      <c r="P234" s="1"/>
      <c r="Q234" s="1"/>
      <c r="R234" s="1"/>
      <c r="S234" s="1"/>
      <c r="T234" s="1"/>
      <c r="U234" s="1"/>
    </row>
    <row r="235" spans="1:21" ht="15.75" customHeight="1">
      <c r="A235" s="50">
        <v>234</v>
      </c>
      <c r="B235" s="50">
        <v>21646</v>
      </c>
      <c r="C235" s="51" t="s">
        <v>32</v>
      </c>
      <c r="D235" s="52">
        <v>45035</v>
      </c>
      <c r="E235" s="52">
        <v>45038</v>
      </c>
      <c r="F235" s="52">
        <v>45054</v>
      </c>
      <c r="G235" s="51"/>
      <c r="H235" s="51"/>
      <c r="I235" s="53">
        <f t="shared" si="4"/>
        <v>1</v>
      </c>
      <c r="J235" s="1"/>
      <c r="K235" s="1"/>
      <c r="L235" s="1"/>
      <c r="M235" s="1"/>
      <c r="N235" s="1"/>
      <c r="O235" s="1"/>
      <c r="P235" s="1"/>
      <c r="Q235" s="1"/>
      <c r="R235" s="1"/>
      <c r="S235" s="1"/>
      <c r="T235" s="1"/>
      <c r="U235" s="1"/>
    </row>
    <row r="236" spans="1:21" ht="15.75" customHeight="1">
      <c r="A236" s="46">
        <v>235</v>
      </c>
      <c r="B236" s="46">
        <v>22234</v>
      </c>
      <c r="C236" s="47" t="s">
        <v>33</v>
      </c>
      <c r="D236" s="48">
        <v>45066</v>
      </c>
      <c r="E236" s="48">
        <v>45070</v>
      </c>
      <c r="F236" s="48">
        <v>45092</v>
      </c>
      <c r="G236" s="47"/>
      <c r="H236" s="47"/>
      <c r="I236" s="54">
        <f t="shared" si="4"/>
        <v>1</v>
      </c>
      <c r="J236" s="1"/>
      <c r="K236" s="1"/>
      <c r="L236" s="1"/>
      <c r="M236" s="1"/>
      <c r="N236" s="1"/>
      <c r="O236" s="1"/>
      <c r="P236" s="1"/>
      <c r="Q236" s="1"/>
      <c r="R236" s="1"/>
      <c r="S236" s="1"/>
      <c r="T236" s="1"/>
      <c r="U236" s="1"/>
    </row>
    <row r="237" spans="1:21" ht="15.75" customHeight="1">
      <c r="A237" s="50">
        <v>236</v>
      </c>
      <c r="B237" s="50">
        <v>29049</v>
      </c>
      <c r="C237" s="51" t="s">
        <v>32</v>
      </c>
      <c r="D237" s="52">
        <v>44933</v>
      </c>
      <c r="E237" s="52">
        <v>44936</v>
      </c>
      <c r="F237" s="52">
        <v>44940</v>
      </c>
      <c r="G237" s="51"/>
      <c r="H237" s="51"/>
      <c r="I237" s="53">
        <f t="shared" si="4"/>
        <v>1</v>
      </c>
      <c r="J237" s="1"/>
      <c r="K237" s="1"/>
      <c r="L237" s="1"/>
      <c r="M237" s="1"/>
      <c r="N237" s="1"/>
      <c r="O237" s="1"/>
      <c r="P237" s="1"/>
      <c r="Q237" s="1"/>
      <c r="R237" s="1"/>
      <c r="S237" s="1"/>
      <c r="T237" s="1"/>
      <c r="U237" s="1"/>
    </row>
    <row r="238" spans="1:21" ht="15.75" customHeight="1">
      <c r="A238" s="46">
        <v>237</v>
      </c>
      <c r="B238" s="46">
        <v>22300</v>
      </c>
      <c r="C238" s="47" t="s">
        <v>31</v>
      </c>
      <c r="D238" s="48">
        <v>45061</v>
      </c>
      <c r="E238" s="48">
        <v>45067</v>
      </c>
      <c r="F238" s="48">
        <v>45070</v>
      </c>
      <c r="G238" s="47"/>
      <c r="H238" s="47"/>
      <c r="I238" s="54">
        <f t="shared" si="4"/>
        <v>1</v>
      </c>
      <c r="J238" s="1"/>
      <c r="K238" s="1"/>
      <c r="L238" s="1"/>
      <c r="M238" s="1"/>
      <c r="N238" s="1"/>
      <c r="O238" s="1"/>
      <c r="P238" s="1"/>
      <c r="Q238" s="1"/>
      <c r="R238" s="1"/>
      <c r="S238" s="1"/>
      <c r="T238" s="1"/>
      <c r="U238" s="1"/>
    </row>
    <row r="239" spans="1:21" ht="15.75" customHeight="1">
      <c r="A239" s="50">
        <v>238</v>
      </c>
      <c r="B239" s="50">
        <v>10892</v>
      </c>
      <c r="C239" s="51" t="s">
        <v>32</v>
      </c>
      <c r="D239" s="52">
        <v>45076</v>
      </c>
      <c r="E239" s="52">
        <v>45076</v>
      </c>
      <c r="F239" s="52">
        <v>45094</v>
      </c>
      <c r="G239" s="51"/>
      <c r="H239" s="51"/>
      <c r="I239" s="53">
        <f t="shared" si="4"/>
        <v>1</v>
      </c>
      <c r="J239" s="1"/>
      <c r="K239" s="1"/>
      <c r="L239" s="1"/>
      <c r="M239" s="1"/>
      <c r="N239" s="1"/>
      <c r="O239" s="1"/>
      <c r="P239" s="1"/>
      <c r="Q239" s="1"/>
      <c r="R239" s="1"/>
      <c r="S239" s="1"/>
      <c r="T239" s="1"/>
      <c r="U239" s="1"/>
    </row>
    <row r="240" spans="1:21" ht="15.75" customHeight="1">
      <c r="A240" s="46">
        <v>239</v>
      </c>
      <c r="B240" s="46">
        <v>25522</v>
      </c>
      <c r="C240" s="47" t="s">
        <v>33</v>
      </c>
      <c r="D240" s="48">
        <v>45007</v>
      </c>
      <c r="E240" s="48">
        <v>45008</v>
      </c>
      <c r="F240" s="48">
        <v>45026</v>
      </c>
      <c r="G240" s="47"/>
      <c r="H240" s="47"/>
      <c r="I240" s="54">
        <f t="shared" si="4"/>
        <v>1</v>
      </c>
      <c r="J240" s="1"/>
      <c r="K240" s="1"/>
      <c r="L240" s="1"/>
      <c r="M240" s="1"/>
      <c r="N240" s="1"/>
      <c r="O240" s="1"/>
      <c r="P240" s="1"/>
      <c r="Q240" s="1"/>
      <c r="R240" s="1"/>
      <c r="S240" s="1"/>
      <c r="T240" s="1"/>
      <c r="U240" s="1"/>
    </row>
    <row r="241" spans="1:21" ht="15.75" customHeight="1">
      <c r="A241" s="50">
        <v>240</v>
      </c>
      <c r="B241" s="50">
        <v>20423</v>
      </c>
      <c r="C241" s="51" t="s">
        <v>33</v>
      </c>
      <c r="D241" s="52">
        <v>45065</v>
      </c>
      <c r="E241" s="52">
        <v>45068</v>
      </c>
      <c r="F241" s="52">
        <v>45084</v>
      </c>
      <c r="G241" s="51"/>
      <c r="H241" s="51"/>
      <c r="I241" s="53">
        <f t="shared" si="4"/>
        <v>1</v>
      </c>
      <c r="J241" s="1"/>
      <c r="K241" s="1"/>
      <c r="L241" s="1"/>
      <c r="M241" s="1"/>
      <c r="N241" s="1"/>
      <c r="O241" s="1"/>
      <c r="P241" s="1"/>
      <c r="Q241" s="1"/>
      <c r="R241" s="1"/>
      <c r="S241" s="1"/>
      <c r="T241" s="1"/>
      <c r="U241" s="1"/>
    </row>
    <row r="242" spans="1:21" ht="15.75" customHeight="1">
      <c r="A242" s="46">
        <v>241</v>
      </c>
      <c r="B242" s="46">
        <v>24139</v>
      </c>
      <c r="C242" s="47" t="s">
        <v>32</v>
      </c>
      <c r="D242" s="48">
        <v>45038</v>
      </c>
      <c r="E242" s="48">
        <v>45038</v>
      </c>
      <c r="F242" s="48">
        <v>45038</v>
      </c>
      <c r="G242" s="48">
        <v>45053</v>
      </c>
      <c r="H242" s="48">
        <v>45055</v>
      </c>
      <c r="I242" s="54">
        <f t="shared" si="4"/>
        <v>1</v>
      </c>
      <c r="J242" s="1"/>
      <c r="K242" s="1"/>
      <c r="L242" s="1"/>
      <c r="M242" s="1"/>
      <c r="N242" s="1"/>
      <c r="O242" s="1"/>
      <c r="P242" s="1"/>
      <c r="Q242" s="1"/>
      <c r="R242" s="1"/>
      <c r="S242" s="1"/>
      <c r="T242" s="1"/>
      <c r="U242" s="1"/>
    </row>
    <row r="243" spans="1:21" ht="15.75" customHeight="1">
      <c r="A243" s="50">
        <v>242</v>
      </c>
      <c r="B243" s="50">
        <v>25069</v>
      </c>
      <c r="C243" s="51" t="s">
        <v>32</v>
      </c>
      <c r="D243" s="52">
        <v>44990</v>
      </c>
      <c r="E243" s="52">
        <v>44994</v>
      </c>
      <c r="F243" s="52">
        <v>45001</v>
      </c>
      <c r="G243" s="52">
        <v>45024</v>
      </c>
      <c r="H243" s="52">
        <v>45025</v>
      </c>
      <c r="I243" s="53">
        <f t="shared" si="4"/>
        <v>1</v>
      </c>
      <c r="J243" s="1"/>
      <c r="K243" s="1"/>
      <c r="L243" s="1"/>
      <c r="M243" s="1"/>
      <c r="N243" s="1"/>
      <c r="O243" s="1"/>
      <c r="P243" s="1"/>
      <c r="Q243" s="1"/>
      <c r="R243" s="1"/>
      <c r="S243" s="1"/>
      <c r="T243" s="1"/>
      <c r="U243" s="1"/>
    </row>
    <row r="244" spans="1:21" ht="15.75" customHeight="1">
      <c r="A244" s="46">
        <v>243</v>
      </c>
      <c r="B244" s="46">
        <v>24171</v>
      </c>
      <c r="C244" s="47" t="s">
        <v>45</v>
      </c>
      <c r="D244" s="48">
        <v>44937</v>
      </c>
      <c r="E244" s="48">
        <v>44939</v>
      </c>
      <c r="F244" s="48">
        <v>44967</v>
      </c>
      <c r="G244" s="47"/>
      <c r="H244" s="47"/>
      <c r="I244" s="54">
        <f t="shared" si="4"/>
        <v>1</v>
      </c>
      <c r="J244" s="1"/>
      <c r="K244" s="1"/>
      <c r="L244" s="1"/>
      <c r="M244" s="1"/>
      <c r="N244" s="1"/>
      <c r="O244" s="1"/>
      <c r="P244" s="1"/>
      <c r="Q244" s="1"/>
      <c r="R244" s="1"/>
      <c r="S244" s="1"/>
      <c r="T244" s="1"/>
      <c r="U244" s="1"/>
    </row>
    <row r="245" spans="1:21" ht="15.75" customHeight="1">
      <c r="A245" s="50">
        <v>244</v>
      </c>
      <c r="B245" s="50">
        <v>18020</v>
      </c>
      <c r="C245" s="51" t="s">
        <v>45</v>
      </c>
      <c r="D245" s="52">
        <v>44958</v>
      </c>
      <c r="E245" s="52">
        <v>44962</v>
      </c>
      <c r="F245" s="52">
        <v>44986</v>
      </c>
      <c r="G245" s="51"/>
      <c r="H245" s="51"/>
      <c r="I245" s="53">
        <f t="shared" si="4"/>
        <v>1</v>
      </c>
      <c r="J245" s="1"/>
      <c r="K245" s="1"/>
      <c r="L245" s="1"/>
      <c r="M245" s="1"/>
      <c r="N245" s="1"/>
      <c r="O245" s="1"/>
      <c r="P245" s="1"/>
      <c r="Q245" s="1"/>
      <c r="R245" s="1"/>
      <c r="S245" s="1"/>
      <c r="T245" s="1"/>
      <c r="U245" s="1"/>
    </row>
    <row r="246" spans="1:21" ht="15.75" customHeight="1">
      <c r="A246" s="46">
        <v>245</v>
      </c>
      <c r="B246" s="46">
        <v>12231</v>
      </c>
      <c r="C246" s="47" t="s">
        <v>45</v>
      </c>
      <c r="D246" s="48">
        <v>44977</v>
      </c>
      <c r="E246" s="48">
        <v>44980</v>
      </c>
      <c r="F246" s="47"/>
      <c r="G246" s="47"/>
      <c r="H246" s="47"/>
      <c r="I246" s="54">
        <f t="shared" si="4"/>
        <v>0</v>
      </c>
      <c r="J246" s="1"/>
      <c r="K246" s="1"/>
      <c r="L246" s="1"/>
      <c r="M246" s="1"/>
      <c r="N246" s="1"/>
      <c r="O246" s="1"/>
      <c r="P246" s="1"/>
      <c r="Q246" s="1"/>
      <c r="R246" s="1"/>
      <c r="S246" s="1"/>
      <c r="T246" s="1"/>
      <c r="U246" s="1"/>
    </row>
    <row r="247" spans="1:21" ht="15.75" customHeight="1">
      <c r="A247" s="50">
        <v>246</v>
      </c>
      <c r="B247" s="50">
        <v>24521</v>
      </c>
      <c r="C247" s="51" t="s">
        <v>49</v>
      </c>
      <c r="D247" s="52">
        <v>45038</v>
      </c>
      <c r="E247" s="52">
        <v>45043</v>
      </c>
      <c r="F247" s="52">
        <v>45051</v>
      </c>
      <c r="G247" s="51"/>
      <c r="H247" s="51"/>
      <c r="I247" s="53">
        <f t="shared" si="4"/>
        <v>1</v>
      </c>
      <c r="J247" s="1"/>
      <c r="K247" s="1"/>
      <c r="L247" s="1"/>
      <c r="M247" s="1"/>
      <c r="N247" s="1"/>
      <c r="O247" s="1"/>
      <c r="P247" s="1"/>
      <c r="Q247" s="1"/>
      <c r="R247" s="1"/>
      <c r="S247" s="1"/>
      <c r="T247" s="1"/>
      <c r="U247" s="1"/>
    </row>
    <row r="248" spans="1:21" ht="15.75" customHeight="1">
      <c r="A248" s="46">
        <v>247</v>
      </c>
      <c r="B248" s="46">
        <v>11054</v>
      </c>
      <c r="C248" s="47" t="s">
        <v>32</v>
      </c>
      <c r="D248" s="48">
        <v>45019</v>
      </c>
      <c r="E248" s="48">
        <v>45025</v>
      </c>
      <c r="F248" s="48">
        <v>45038</v>
      </c>
      <c r="G248" s="47"/>
      <c r="H248" s="47"/>
      <c r="I248" s="54">
        <f t="shared" si="4"/>
        <v>1</v>
      </c>
      <c r="J248" s="1"/>
      <c r="K248" s="1"/>
      <c r="L248" s="1"/>
      <c r="M248" s="1"/>
      <c r="N248" s="1"/>
      <c r="O248" s="1"/>
      <c r="P248" s="1"/>
      <c r="Q248" s="1"/>
      <c r="R248" s="1"/>
      <c r="S248" s="1"/>
      <c r="T248" s="1"/>
      <c r="U248" s="1"/>
    </row>
    <row r="249" spans="1:21" ht="15.75" customHeight="1">
      <c r="A249" s="50">
        <v>248</v>
      </c>
      <c r="B249" s="50">
        <v>17693</v>
      </c>
      <c r="C249" s="51" t="s">
        <v>33</v>
      </c>
      <c r="D249" s="52">
        <v>44949</v>
      </c>
      <c r="E249" s="52">
        <v>44949</v>
      </c>
      <c r="F249" s="52">
        <v>44966</v>
      </c>
      <c r="G249" s="51"/>
      <c r="H249" s="51"/>
      <c r="I249" s="53">
        <f t="shared" si="4"/>
        <v>1</v>
      </c>
      <c r="J249" s="1"/>
      <c r="K249" s="1"/>
      <c r="L249" s="1"/>
      <c r="M249" s="1"/>
      <c r="N249" s="1"/>
      <c r="O249" s="1"/>
      <c r="P249" s="1"/>
      <c r="Q249" s="1"/>
      <c r="R249" s="1"/>
      <c r="S249" s="1"/>
      <c r="T249" s="1"/>
      <c r="U249" s="1"/>
    </row>
    <row r="250" spans="1:21" ht="15.75" customHeight="1">
      <c r="A250" s="46">
        <v>249</v>
      </c>
      <c r="B250" s="46">
        <v>12831</v>
      </c>
      <c r="C250" s="47" t="s">
        <v>31</v>
      </c>
      <c r="D250" s="48">
        <v>44953</v>
      </c>
      <c r="E250" s="48">
        <v>44953</v>
      </c>
      <c r="F250" s="48">
        <v>44966</v>
      </c>
      <c r="G250" s="47"/>
      <c r="H250" s="47"/>
      <c r="I250" s="54">
        <f t="shared" si="4"/>
        <v>1</v>
      </c>
      <c r="J250" s="1"/>
      <c r="K250" s="1"/>
      <c r="L250" s="1"/>
      <c r="M250" s="1"/>
      <c r="N250" s="1"/>
      <c r="O250" s="1"/>
      <c r="P250" s="1"/>
      <c r="Q250" s="1"/>
      <c r="R250" s="1"/>
      <c r="S250" s="1"/>
      <c r="T250" s="1"/>
      <c r="U250" s="1"/>
    </row>
    <row r="251" spans="1:21" ht="15.75" customHeight="1">
      <c r="A251" s="50">
        <v>250</v>
      </c>
      <c r="B251" s="50">
        <v>27353</v>
      </c>
      <c r="C251" s="51" t="s">
        <v>32</v>
      </c>
      <c r="D251" s="52">
        <v>45056</v>
      </c>
      <c r="E251" s="52">
        <v>45059</v>
      </c>
      <c r="F251" s="51"/>
      <c r="G251" s="51"/>
      <c r="H251" s="51"/>
      <c r="I251" s="53">
        <f t="shared" si="4"/>
        <v>0</v>
      </c>
      <c r="J251" s="1"/>
      <c r="K251" s="1"/>
      <c r="L251" s="1"/>
      <c r="M251" s="1"/>
      <c r="N251" s="1"/>
      <c r="O251" s="1"/>
      <c r="P251" s="1"/>
      <c r="Q251" s="1"/>
      <c r="R251" s="1"/>
      <c r="S251" s="1"/>
      <c r="T251" s="1"/>
      <c r="U251" s="1"/>
    </row>
    <row r="252" spans="1:21" ht="15.75" customHeight="1">
      <c r="A252" s="46">
        <v>251</v>
      </c>
      <c r="B252" s="46">
        <v>13606</v>
      </c>
      <c r="C252" s="47" t="s">
        <v>31</v>
      </c>
      <c r="D252" s="48">
        <v>45000</v>
      </c>
      <c r="E252" s="48">
        <v>45000</v>
      </c>
      <c r="F252" s="48">
        <v>45021</v>
      </c>
      <c r="G252" s="47"/>
      <c r="H252" s="47"/>
      <c r="I252" s="54">
        <f t="shared" si="4"/>
        <v>1</v>
      </c>
      <c r="J252" s="1"/>
      <c r="K252" s="1"/>
      <c r="L252" s="1"/>
      <c r="M252" s="1"/>
      <c r="N252" s="1"/>
      <c r="O252" s="1"/>
      <c r="P252" s="1"/>
      <c r="Q252" s="1"/>
      <c r="R252" s="1"/>
      <c r="S252" s="1"/>
      <c r="T252" s="1"/>
      <c r="U252" s="1"/>
    </row>
    <row r="253" spans="1:21" ht="15.75" customHeight="1">
      <c r="A253" s="50">
        <v>252</v>
      </c>
      <c r="B253" s="50">
        <v>21166</v>
      </c>
      <c r="C253" s="51" t="s">
        <v>49</v>
      </c>
      <c r="D253" s="52">
        <v>45040</v>
      </c>
      <c r="E253" s="52">
        <v>45044</v>
      </c>
      <c r="F253" s="52">
        <v>45048</v>
      </c>
      <c r="G253" s="51"/>
      <c r="H253" s="51"/>
      <c r="I253" s="53">
        <f t="shared" si="4"/>
        <v>1</v>
      </c>
      <c r="J253" s="1"/>
      <c r="K253" s="1"/>
      <c r="L253" s="1"/>
      <c r="M253" s="1"/>
      <c r="N253" s="1"/>
      <c r="O253" s="1"/>
      <c r="P253" s="1"/>
      <c r="Q253" s="1"/>
      <c r="R253" s="1"/>
      <c r="S253" s="1"/>
      <c r="T253" s="1"/>
      <c r="U253" s="1"/>
    </row>
    <row r="254" spans="1:21" ht="15.75" customHeight="1">
      <c r="A254" s="46">
        <v>253</v>
      </c>
      <c r="B254" s="46">
        <v>27706</v>
      </c>
      <c r="C254" s="47" t="s">
        <v>33</v>
      </c>
      <c r="D254" s="48">
        <v>44953</v>
      </c>
      <c r="E254" s="48">
        <v>44958</v>
      </c>
      <c r="F254" s="48">
        <v>44967</v>
      </c>
      <c r="G254" s="47"/>
      <c r="H254" s="47"/>
      <c r="I254" s="54">
        <f t="shared" si="4"/>
        <v>1</v>
      </c>
      <c r="J254" s="1"/>
      <c r="K254" s="1"/>
      <c r="L254" s="1"/>
      <c r="M254" s="1"/>
      <c r="N254" s="1"/>
      <c r="O254" s="1"/>
      <c r="P254" s="1"/>
      <c r="Q254" s="1"/>
      <c r="R254" s="1"/>
      <c r="S254" s="1"/>
      <c r="T254" s="1"/>
      <c r="U254" s="1"/>
    </row>
    <row r="255" spans="1:21" ht="15.75" customHeight="1">
      <c r="A255" s="50">
        <v>254</v>
      </c>
      <c r="B255" s="50">
        <v>15539</v>
      </c>
      <c r="C255" s="51" t="s">
        <v>45</v>
      </c>
      <c r="D255" s="52">
        <v>44981</v>
      </c>
      <c r="E255" s="52">
        <v>44984</v>
      </c>
      <c r="F255" s="52">
        <v>45010</v>
      </c>
      <c r="G255" s="51"/>
      <c r="H255" s="51"/>
      <c r="I255" s="53">
        <f t="shared" si="4"/>
        <v>1</v>
      </c>
      <c r="J255" s="1"/>
      <c r="K255" s="1"/>
      <c r="L255" s="1"/>
      <c r="M255" s="1"/>
      <c r="N255" s="1"/>
      <c r="O255" s="1"/>
      <c r="P255" s="1"/>
      <c r="Q255" s="1"/>
      <c r="R255" s="1"/>
      <c r="S255" s="1"/>
      <c r="T255" s="1"/>
      <c r="U255" s="1"/>
    </row>
    <row r="256" spans="1:21" ht="15.75" customHeight="1">
      <c r="A256" s="46">
        <v>255</v>
      </c>
      <c r="B256" s="46">
        <v>13341</v>
      </c>
      <c r="C256" s="47" t="s">
        <v>32</v>
      </c>
      <c r="D256" s="48">
        <v>45031</v>
      </c>
      <c r="E256" s="48">
        <v>45034</v>
      </c>
      <c r="F256" s="48">
        <v>45036</v>
      </c>
      <c r="G256" s="48">
        <v>45058</v>
      </c>
      <c r="H256" s="48">
        <v>45062</v>
      </c>
      <c r="I256" s="54">
        <f t="shared" si="4"/>
        <v>1</v>
      </c>
      <c r="J256" s="1"/>
      <c r="K256" s="1"/>
      <c r="L256" s="1"/>
      <c r="M256" s="1"/>
      <c r="N256" s="1"/>
      <c r="O256" s="1"/>
      <c r="P256" s="1"/>
      <c r="Q256" s="1"/>
      <c r="R256" s="1"/>
      <c r="S256" s="1"/>
      <c r="T256" s="1"/>
      <c r="U256" s="1"/>
    </row>
    <row r="257" spans="1:21" ht="15.75" customHeight="1">
      <c r="A257" s="50">
        <v>256</v>
      </c>
      <c r="B257" s="50">
        <v>25104</v>
      </c>
      <c r="C257" s="51" t="s">
        <v>33</v>
      </c>
      <c r="D257" s="52">
        <v>44949</v>
      </c>
      <c r="E257" s="52">
        <v>44952</v>
      </c>
      <c r="F257" s="52">
        <v>44974</v>
      </c>
      <c r="G257" s="51"/>
      <c r="H257" s="51"/>
      <c r="I257" s="53">
        <f t="shared" si="4"/>
        <v>1</v>
      </c>
      <c r="J257" s="1"/>
      <c r="K257" s="1"/>
      <c r="L257" s="1"/>
      <c r="M257" s="1"/>
      <c r="N257" s="1"/>
      <c r="O257" s="1"/>
      <c r="P257" s="1"/>
      <c r="Q257" s="1"/>
      <c r="R257" s="1"/>
      <c r="S257" s="1"/>
      <c r="T257" s="1"/>
      <c r="U257" s="1"/>
    </row>
    <row r="258" spans="1:21" ht="15.75" customHeight="1">
      <c r="A258" s="46">
        <v>257</v>
      </c>
      <c r="B258" s="46">
        <v>17873</v>
      </c>
      <c r="C258" s="47" t="s">
        <v>32</v>
      </c>
      <c r="D258" s="48">
        <v>44972</v>
      </c>
      <c r="E258" s="48">
        <v>44978</v>
      </c>
      <c r="F258" s="47"/>
      <c r="G258" s="47"/>
      <c r="H258" s="47"/>
      <c r="I258" s="54">
        <f t="shared" si="4"/>
        <v>0</v>
      </c>
      <c r="J258" s="1"/>
      <c r="K258" s="1"/>
      <c r="L258" s="1"/>
      <c r="M258" s="1"/>
      <c r="N258" s="1"/>
      <c r="O258" s="1"/>
      <c r="P258" s="1"/>
      <c r="Q258" s="1"/>
      <c r="R258" s="1"/>
      <c r="S258" s="1"/>
      <c r="T258" s="1"/>
      <c r="U258" s="1"/>
    </row>
    <row r="259" spans="1:21" ht="15.75" customHeight="1">
      <c r="A259" s="50">
        <v>258</v>
      </c>
      <c r="B259" s="50">
        <v>29210</v>
      </c>
      <c r="C259" s="51" t="s">
        <v>31</v>
      </c>
      <c r="D259" s="52">
        <v>45023</v>
      </c>
      <c r="E259" s="52">
        <v>45024</v>
      </c>
      <c r="F259" s="52">
        <v>45037</v>
      </c>
      <c r="G259" s="51"/>
      <c r="H259" s="51"/>
      <c r="I259" s="53">
        <f t="shared" si="4"/>
        <v>1</v>
      </c>
      <c r="J259" s="1"/>
      <c r="K259" s="1"/>
      <c r="L259" s="1"/>
      <c r="M259" s="1"/>
      <c r="N259" s="1"/>
      <c r="O259" s="1"/>
      <c r="P259" s="1"/>
      <c r="Q259" s="1"/>
      <c r="R259" s="1"/>
      <c r="S259" s="1"/>
      <c r="T259" s="1"/>
      <c r="U259" s="1"/>
    </row>
    <row r="260" spans="1:21" ht="15.75" customHeight="1">
      <c r="A260" s="46">
        <v>259</v>
      </c>
      <c r="B260" s="46">
        <v>25731</v>
      </c>
      <c r="C260" s="47" t="s">
        <v>32</v>
      </c>
      <c r="D260" s="48">
        <v>44927</v>
      </c>
      <c r="E260" s="48">
        <v>44929</v>
      </c>
      <c r="F260" s="48">
        <v>44944</v>
      </c>
      <c r="G260" s="47"/>
      <c r="H260" s="47"/>
      <c r="I260" s="54">
        <f t="shared" si="4"/>
        <v>1</v>
      </c>
      <c r="J260" s="1"/>
      <c r="K260" s="1"/>
      <c r="L260" s="1"/>
      <c r="M260" s="1"/>
      <c r="N260" s="1"/>
      <c r="O260" s="1"/>
      <c r="P260" s="1"/>
      <c r="Q260" s="1"/>
      <c r="R260" s="1"/>
      <c r="S260" s="1"/>
      <c r="T260" s="1"/>
      <c r="U260" s="1"/>
    </row>
    <row r="261" spans="1:21" ht="15.75" customHeight="1">
      <c r="A261" s="50">
        <v>260</v>
      </c>
      <c r="B261" s="50">
        <v>29114</v>
      </c>
      <c r="C261" s="51" t="s">
        <v>31</v>
      </c>
      <c r="D261" s="52">
        <v>44957</v>
      </c>
      <c r="E261" s="52">
        <v>44961</v>
      </c>
      <c r="F261" s="52">
        <v>44965</v>
      </c>
      <c r="G261" s="51"/>
      <c r="H261" s="51"/>
      <c r="I261" s="53">
        <f t="shared" si="4"/>
        <v>1</v>
      </c>
      <c r="J261" s="1"/>
      <c r="K261" s="1"/>
      <c r="L261" s="1"/>
      <c r="M261" s="1"/>
      <c r="N261" s="1"/>
      <c r="O261" s="1"/>
      <c r="P261" s="1"/>
      <c r="Q261" s="1"/>
      <c r="R261" s="1"/>
      <c r="S261" s="1"/>
      <c r="T261" s="1"/>
      <c r="U261" s="1"/>
    </row>
    <row r="262" spans="1:21" ht="15.75" customHeight="1">
      <c r="A262" s="46">
        <v>261</v>
      </c>
      <c r="B262" s="46">
        <v>25212</v>
      </c>
      <c r="C262" s="47" t="s">
        <v>33</v>
      </c>
      <c r="D262" s="48">
        <v>45049</v>
      </c>
      <c r="E262" s="48">
        <v>45050</v>
      </c>
      <c r="F262" s="48">
        <v>45056</v>
      </c>
      <c r="G262" s="47"/>
      <c r="H262" s="47"/>
      <c r="I262" s="54">
        <f t="shared" si="4"/>
        <v>1</v>
      </c>
      <c r="J262" s="1"/>
      <c r="K262" s="1"/>
      <c r="L262" s="1"/>
      <c r="M262" s="1"/>
      <c r="N262" s="1"/>
      <c r="O262" s="1"/>
      <c r="P262" s="1"/>
      <c r="Q262" s="1"/>
      <c r="R262" s="1"/>
      <c r="S262" s="1"/>
      <c r="T262" s="1"/>
      <c r="U262" s="1"/>
    </row>
    <row r="263" spans="1:21" ht="15.75" customHeight="1">
      <c r="A263" s="50">
        <v>262</v>
      </c>
      <c r="B263" s="50">
        <v>28249</v>
      </c>
      <c r="C263" s="51" t="s">
        <v>32</v>
      </c>
      <c r="D263" s="52">
        <v>44936</v>
      </c>
      <c r="E263" s="52">
        <v>44937</v>
      </c>
      <c r="F263" s="52">
        <v>44937</v>
      </c>
      <c r="G263" s="51"/>
      <c r="H263" s="51"/>
      <c r="I263" s="53">
        <f t="shared" si="4"/>
        <v>1</v>
      </c>
      <c r="J263" s="1"/>
      <c r="K263" s="1"/>
      <c r="L263" s="1"/>
      <c r="M263" s="1"/>
      <c r="N263" s="1"/>
      <c r="O263" s="1"/>
      <c r="P263" s="1"/>
      <c r="Q263" s="1"/>
      <c r="R263" s="1"/>
      <c r="S263" s="1"/>
      <c r="T263" s="1"/>
      <c r="U263" s="1"/>
    </row>
    <row r="264" spans="1:21" ht="15.75" customHeight="1">
      <c r="A264" s="46">
        <v>263</v>
      </c>
      <c r="B264" s="46">
        <v>29157</v>
      </c>
      <c r="C264" s="47" t="s">
        <v>49</v>
      </c>
      <c r="D264" s="48">
        <v>45006</v>
      </c>
      <c r="E264" s="48">
        <v>45009</v>
      </c>
      <c r="F264" s="48">
        <v>45014</v>
      </c>
      <c r="G264" s="48">
        <v>45029</v>
      </c>
      <c r="H264" s="48">
        <v>45032</v>
      </c>
      <c r="I264" s="54">
        <f t="shared" si="4"/>
        <v>1</v>
      </c>
      <c r="J264" s="1"/>
      <c r="K264" s="1"/>
      <c r="L264" s="1"/>
      <c r="M264" s="1"/>
      <c r="N264" s="1"/>
      <c r="O264" s="1"/>
      <c r="P264" s="1"/>
      <c r="Q264" s="1"/>
      <c r="R264" s="1"/>
      <c r="S264" s="1"/>
      <c r="T264" s="1"/>
      <c r="U264" s="1"/>
    </row>
    <row r="265" spans="1:21" ht="15.75" customHeight="1">
      <c r="A265" s="50">
        <v>264</v>
      </c>
      <c r="B265" s="50">
        <v>26705</v>
      </c>
      <c r="C265" s="51" t="s">
        <v>31</v>
      </c>
      <c r="D265" s="52">
        <v>45062</v>
      </c>
      <c r="E265" s="52">
        <v>45067</v>
      </c>
      <c r="F265" s="52">
        <v>45074</v>
      </c>
      <c r="G265" s="51"/>
      <c r="H265" s="51"/>
      <c r="I265" s="53">
        <f t="shared" si="4"/>
        <v>1</v>
      </c>
      <c r="J265" s="1"/>
      <c r="K265" s="1"/>
      <c r="L265" s="1"/>
      <c r="M265" s="1"/>
      <c r="N265" s="1"/>
      <c r="O265" s="1"/>
      <c r="P265" s="1"/>
      <c r="Q265" s="1"/>
      <c r="R265" s="1"/>
      <c r="S265" s="1"/>
      <c r="T265" s="1"/>
      <c r="U265" s="1"/>
    </row>
    <row r="266" spans="1:21" ht="15.75" customHeight="1">
      <c r="A266" s="46">
        <v>265</v>
      </c>
      <c r="B266" s="46">
        <v>11480</v>
      </c>
      <c r="C266" s="47" t="s">
        <v>33</v>
      </c>
      <c r="D266" s="48">
        <v>45065</v>
      </c>
      <c r="E266" s="48">
        <v>45069</v>
      </c>
      <c r="F266" s="48">
        <v>45073</v>
      </c>
      <c r="G266" s="47"/>
      <c r="H266" s="47"/>
      <c r="I266" s="54">
        <f t="shared" si="4"/>
        <v>1</v>
      </c>
      <c r="J266" s="1"/>
      <c r="K266" s="1"/>
      <c r="L266" s="1"/>
      <c r="M266" s="1"/>
      <c r="N266" s="1"/>
      <c r="O266" s="1"/>
      <c r="P266" s="1"/>
      <c r="Q266" s="1"/>
      <c r="R266" s="1"/>
      <c r="S266" s="1"/>
      <c r="T266" s="1"/>
      <c r="U266" s="1"/>
    </row>
    <row r="267" spans="1:21" ht="15.75" customHeight="1">
      <c r="A267" s="50">
        <v>266</v>
      </c>
      <c r="B267" s="50">
        <v>25537</v>
      </c>
      <c r="C267" s="51" t="s">
        <v>33</v>
      </c>
      <c r="D267" s="52">
        <v>45048</v>
      </c>
      <c r="E267" s="52">
        <v>45053</v>
      </c>
      <c r="F267" s="52">
        <v>45054</v>
      </c>
      <c r="G267" s="52">
        <v>45072</v>
      </c>
      <c r="H267" s="52">
        <v>45077</v>
      </c>
      <c r="I267" s="53">
        <f t="shared" si="4"/>
        <v>1</v>
      </c>
      <c r="J267" s="1"/>
      <c r="K267" s="1"/>
      <c r="L267" s="1"/>
      <c r="M267" s="1"/>
      <c r="N267" s="1"/>
      <c r="O267" s="1"/>
      <c r="P267" s="1"/>
      <c r="Q267" s="1"/>
      <c r="R267" s="1"/>
      <c r="S267" s="1"/>
      <c r="T267" s="1"/>
      <c r="U267" s="1"/>
    </row>
    <row r="268" spans="1:21" ht="15.75" customHeight="1">
      <c r="A268" s="46">
        <v>267</v>
      </c>
      <c r="B268" s="46">
        <v>25238</v>
      </c>
      <c r="C268" s="47" t="s">
        <v>32</v>
      </c>
      <c r="D268" s="48">
        <v>44927</v>
      </c>
      <c r="E268" s="48">
        <v>44931</v>
      </c>
      <c r="F268" s="48">
        <v>44946</v>
      </c>
      <c r="G268" s="47"/>
      <c r="H268" s="47"/>
      <c r="I268" s="54">
        <f t="shared" ref="I268:I294" si="5">IF(ISBLANK(F268),0,1)</f>
        <v>1</v>
      </c>
      <c r="J268" s="1"/>
      <c r="K268" s="1"/>
      <c r="L268" s="1"/>
      <c r="M268" s="1"/>
      <c r="N268" s="1"/>
      <c r="O268" s="1"/>
      <c r="P268" s="1"/>
      <c r="Q268" s="1"/>
      <c r="R268" s="1"/>
      <c r="S268" s="1"/>
      <c r="T268" s="1"/>
      <c r="U268" s="1"/>
    </row>
    <row r="269" spans="1:21" ht="15.75" customHeight="1">
      <c r="A269" s="50">
        <v>268</v>
      </c>
      <c r="B269" s="50">
        <v>27151</v>
      </c>
      <c r="C269" s="51" t="s">
        <v>32</v>
      </c>
      <c r="D269" s="52">
        <v>44991</v>
      </c>
      <c r="E269" s="52">
        <v>44996</v>
      </c>
      <c r="F269" s="52">
        <v>45016</v>
      </c>
      <c r="G269" s="51"/>
      <c r="H269" s="51"/>
      <c r="I269" s="53">
        <f t="shared" si="5"/>
        <v>1</v>
      </c>
      <c r="J269" s="1"/>
      <c r="K269" s="1"/>
      <c r="L269" s="1"/>
      <c r="M269" s="1"/>
      <c r="N269" s="1"/>
      <c r="O269" s="1"/>
      <c r="P269" s="1"/>
      <c r="Q269" s="1"/>
      <c r="R269" s="1"/>
      <c r="S269" s="1"/>
      <c r="T269" s="1"/>
      <c r="U269" s="1"/>
    </row>
    <row r="270" spans="1:21" ht="15.75" customHeight="1">
      <c r="A270" s="46">
        <v>269</v>
      </c>
      <c r="B270" s="46">
        <v>21917</v>
      </c>
      <c r="C270" s="47" t="s">
        <v>31</v>
      </c>
      <c r="D270" s="48">
        <v>44941</v>
      </c>
      <c r="E270" s="48">
        <v>44946</v>
      </c>
      <c r="F270" s="48">
        <v>44958</v>
      </c>
      <c r="G270" s="47"/>
      <c r="H270" s="47"/>
      <c r="I270" s="54">
        <f t="shared" si="5"/>
        <v>1</v>
      </c>
      <c r="J270" s="1"/>
      <c r="K270" s="1"/>
      <c r="L270" s="1"/>
      <c r="M270" s="1"/>
      <c r="N270" s="1"/>
      <c r="O270" s="1"/>
      <c r="P270" s="1"/>
      <c r="Q270" s="1"/>
      <c r="R270" s="1"/>
      <c r="S270" s="1"/>
      <c r="T270" s="1"/>
      <c r="U270" s="1"/>
    </row>
    <row r="271" spans="1:21" ht="15.75" customHeight="1">
      <c r="A271" s="50">
        <v>270</v>
      </c>
      <c r="B271" s="50">
        <v>22651</v>
      </c>
      <c r="C271" s="51" t="s">
        <v>45</v>
      </c>
      <c r="D271" s="52">
        <v>44978</v>
      </c>
      <c r="E271" s="52">
        <v>44978</v>
      </c>
      <c r="F271" s="52">
        <v>44985</v>
      </c>
      <c r="G271" s="52">
        <v>44988</v>
      </c>
      <c r="H271" s="52">
        <v>44994</v>
      </c>
      <c r="I271" s="53">
        <f t="shared" si="5"/>
        <v>1</v>
      </c>
      <c r="J271" s="1"/>
      <c r="K271" s="1"/>
      <c r="L271" s="1"/>
      <c r="M271" s="1"/>
      <c r="N271" s="1"/>
      <c r="O271" s="1"/>
      <c r="P271" s="1"/>
      <c r="Q271" s="1"/>
      <c r="R271" s="1"/>
      <c r="S271" s="1"/>
      <c r="T271" s="1"/>
      <c r="U271" s="1"/>
    </row>
    <row r="272" spans="1:21" ht="15.75" customHeight="1">
      <c r="A272" s="46">
        <v>271</v>
      </c>
      <c r="B272" s="46">
        <v>21970</v>
      </c>
      <c r="C272" s="47" t="s">
        <v>49</v>
      </c>
      <c r="D272" s="48">
        <v>45006</v>
      </c>
      <c r="E272" s="48">
        <v>45009</v>
      </c>
      <c r="F272" s="48">
        <v>45011</v>
      </c>
      <c r="G272" s="48">
        <v>45028</v>
      </c>
      <c r="H272" s="48">
        <v>45033</v>
      </c>
      <c r="I272" s="54">
        <f t="shared" si="5"/>
        <v>1</v>
      </c>
      <c r="J272" s="1"/>
      <c r="K272" s="1"/>
      <c r="L272" s="1"/>
      <c r="M272" s="1"/>
      <c r="N272" s="1"/>
      <c r="O272" s="1"/>
      <c r="P272" s="1"/>
      <c r="Q272" s="1"/>
      <c r="R272" s="1"/>
      <c r="S272" s="1"/>
      <c r="T272" s="1"/>
      <c r="U272" s="1"/>
    </row>
    <row r="273" spans="1:21" ht="15.75" customHeight="1">
      <c r="A273" s="50">
        <v>272</v>
      </c>
      <c r="B273" s="50">
        <v>29030</v>
      </c>
      <c r="C273" s="51" t="s">
        <v>31</v>
      </c>
      <c r="D273" s="52">
        <v>45063</v>
      </c>
      <c r="E273" s="52">
        <v>45065</v>
      </c>
      <c r="F273" s="52">
        <v>45065</v>
      </c>
      <c r="G273" s="51"/>
      <c r="H273" s="51"/>
      <c r="I273" s="53">
        <f t="shared" si="5"/>
        <v>1</v>
      </c>
      <c r="J273" s="1"/>
      <c r="K273" s="1"/>
      <c r="L273" s="1"/>
      <c r="M273" s="1"/>
      <c r="N273" s="1"/>
      <c r="O273" s="1"/>
      <c r="P273" s="1"/>
      <c r="Q273" s="1"/>
      <c r="R273" s="1"/>
      <c r="S273" s="1"/>
      <c r="T273" s="1"/>
      <c r="U273" s="1"/>
    </row>
    <row r="274" spans="1:21" ht="15.75" customHeight="1">
      <c r="A274" s="46">
        <v>273</v>
      </c>
      <c r="B274" s="46">
        <v>16763</v>
      </c>
      <c r="C274" s="47" t="s">
        <v>31</v>
      </c>
      <c r="D274" s="48">
        <v>44981</v>
      </c>
      <c r="E274" s="48">
        <v>44985</v>
      </c>
      <c r="F274" s="47"/>
      <c r="G274" s="48">
        <v>44997</v>
      </c>
      <c r="H274" s="48">
        <v>45000</v>
      </c>
      <c r="I274" s="54">
        <f t="shared" si="5"/>
        <v>0</v>
      </c>
      <c r="J274" s="1"/>
      <c r="K274" s="1"/>
      <c r="L274" s="1"/>
      <c r="M274" s="1"/>
      <c r="N274" s="1"/>
      <c r="O274" s="1"/>
      <c r="P274" s="1"/>
      <c r="Q274" s="1"/>
      <c r="R274" s="1"/>
      <c r="S274" s="1"/>
      <c r="T274" s="1"/>
      <c r="U274" s="1"/>
    </row>
    <row r="275" spans="1:21" ht="15.75" customHeight="1">
      <c r="A275" s="50">
        <v>274</v>
      </c>
      <c r="B275" s="50">
        <v>29869</v>
      </c>
      <c r="C275" s="51" t="s">
        <v>33</v>
      </c>
      <c r="D275" s="52">
        <v>44990</v>
      </c>
      <c r="E275" s="52">
        <v>44996</v>
      </c>
      <c r="F275" s="51"/>
      <c r="G275" s="52">
        <v>45026</v>
      </c>
      <c r="H275" s="52">
        <v>45032</v>
      </c>
      <c r="I275" s="53">
        <f t="shared" si="5"/>
        <v>0</v>
      </c>
      <c r="J275" s="1"/>
      <c r="K275" s="1"/>
      <c r="L275" s="1"/>
      <c r="M275" s="1"/>
      <c r="N275" s="1"/>
      <c r="O275" s="1"/>
      <c r="P275" s="1"/>
      <c r="Q275" s="1"/>
      <c r="R275" s="1"/>
      <c r="S275" s="1"/>
      <c r="T275" s="1"/>
      <c r="U275" s="1"/>
    </row>
    <row r="276" spans="1:21" ht="15.75" customHeight="1">
      <c r="A276" s="46">
        <v>275</v>
      </c>
      <c r="B276" s="46">
        <v>25413</v>
      </c>
      <c r="C276" s="47" t="s">
        <v>45</v>
      </c>
      <c r="D276" s="48">
        <v>45062</v>
      </c>
      <c r="E276" s="48">
        <v>45063</v>
      </c>
      <c r="F276" s="48">
        <v>45079</v>
      </c>
      <c r="G276" s="47"/>
      <c r="H276" s="47"/>
      <c r="I276" s="54">
        <f t="shared" si="5"/>
        <v>1</v>
      </c>
      <c r="J276" s="1"/>
      <c r="K276" s="1"/>
      <c r="L276" s="1"/>
      <c r="M276" s="1"/>
      <c r="N276" s="1"/>
      <c r="O276" s="1"/>
      <c r="P276" s="1"/>
      <c r="Q276" s="1"/>
      <c r="R276" s="1"/>
      <c r="S276" s="1"/>
      <c r="T276" s="1"/>
      <c r="U276" s="1"/>
    </row>
    <row r="277" spans="1:21" ht="15.75" customHeight="1">
      <c r="A277" s="50">
        <v>276</v>
      </c>
      <c r="B277" s="50">
        <v>16148</v>
      </c>
      <c r="C277" s="51" t="s">
        <v>49</v>
      </c>
      <c r="D277" s="52">
        <v>44998</v>
      </c>
      <c r="E277" s="52">
        <v>45001</v>
      </c>
      <c r="F277" s="52">
        <v>45013</v>
      </c>
      <c r="G277" s="51"/>
      <c r="H277" s="51"/>
      <c r="I277" s="53">
        <f t="shared" si="5"/>
        <v>1</v>
      </c>
      <c r="J277" s="1"/>
      <c r="K277" s="1"/>
      <c r="L277" s="1"/>
      <c r="M277" s="1"/>
      <c r="N277" s="1"/>
      <c r="O277" s="1"/>
      <c r="P277" s="1"/>
      <c r="Q277" s="1"/>
      <c r="R277" s="1"/>
      <c r="S277" s="1"/>
      <c r="T277" s="1"/>
      <c r="U277" s="1"/>
    </row>
    <row r="278" spans="1:21" ht="15.75" customHeight="1">
      <c r="A278" s="46">
        <v>277</v>
      </c>
      <c r="B278" s="46">
        <v>22191</v>
      </c>
      <c r="C278" s="47" t="s">
        <v>32</v>
      </c>
      <c r="D278" s="48">
        <v>45031</v>
      </c>
      <c r="E278" s="48">
        <v>45035</v>
      </c>
      <c r="F278" s="48">
        <v>45048</v>
      </c>
      <c r="G278" s="47"/>
      <c r="H278" s="47"/>
      <c r="I278" s="54">
        <f t="shared" si="5"/>
        <v>1</v>
      </c>
      <c r="J278" s="1"/>
      <c r="K278" s="1"/>
      <c r="L278" s="1"/>
      <c r="M278" s="1"/>
      <c r="N278" s="1"/>
      <c r="O278" s="1"/>
      <c r="P278" s="1"/>
      <c r="Q278" s="1"/>
      <c r="R278" s="1"/>
      <c r="S278" s="1"/>
      <c r="T278" s="1"/>
      <c r="U278" s="1"/>
    </row>
    <row r="279" spans="1:21" ht="15.75" customHeight="1">
      <c r="A279" s="50">
        <v>278</v>
      </c>
      <c r="B279" s="50">
        <v>21733</v>
      </c>
      <c r="C279" s="51" t="s">
        <v>32</v>
      </c>
      <c r="D279" s="52">
        <v>45026</v>
      </c>
      <c r="E279" s="52">
        <v>45026</v>
      </c>
      <c r="F279" s="52">
        <v>45035</v>
      </c>
      <c r="G279" s="51"/>
      <c r="H279" s="51"/>
      <c r="I279" s="53">
        <f t="shared" si="5"/>
        <v>1</v>
      </c>
      <c r="J279" s="1"/>
      <c r="K279" s="1"/>
      <c r="L279" s="1"/>
      <c r="M279" s="1"/>
      <c r="N279" s="1"/>
      <c r="O279" s="1"/>
      <c r="P279" s="1"/>
      <c r="Q279" s="1"/>
      <c r="R279" s="1"/>
      <c r="S279" s="1"/>
      <c r="T279" s="1"/>
      <c r="U279" s="1"/>
    </row>
    <row r="280" spans="1:21" ht="15.75" customHeight="1">
      <c r="A280" s="46">
        <v>279</v>
      </c>
      <c r="B280" s="46">
        <v>26479</v>
      </c>
      <c r="C280" s="47" t="s">
        <v>49</v>
      </c>
      <c r="D280" s="48">
        <v>45036</v>
      </c>
      <c r="E280" s="48">
        <v>45036</v>
      </c>
      <c r="F280" s="48">
        <v>45052</v>
      </c>
      <c r="G280" s="47"/>
      <c r="H280" s="47"/>
      <c r="I280" s="54">
        <f t="shared" si="5"/>
        <v>1</v>
      </c>
      <c r="J280" s="1"/>
      <c r="K280" s="1"/>
      <c r="L280" s="1"/>
      <c r="M280" s="1"/>
      <c r="N280" s="1"/>
      <c r="O280" s="1"/>
      <c r="P280" s="1"/>
      <c r="Q280" s="1"/>
      <c r="R280" s="1"/>
      <c r="S280" s="1"/>
      <c r="T280" s="1"/>
      <c r="U280" s="1"/>
    </row>
    <row r="281" spans="1:21" ht="15.75" customHeight="1">
      <c r="A281" s="50">
        <v>280</v>
      </c>
      <c r="B281" s="50">
        <v>19699</v>
      </c>
      <c r="C281" s="51" t="s">
        <v>32</v>
      </c>
      <c r="D281" s="52">
        <v>45021</v>
      </c>
      <c r="E281" s="52">
        <v>45021</v>
      </c>
      <c r="F281" s="52">
        <v>45040</v>
      </c>
      <c r="G281" s="51"/>
      <c r="H281" s="51"/>
      <c r="I281" s="53">
        <f t="shared" si="5"/>
        <v>1</v>
      </c>
      <c r="J281" s="1"/>
      <c r="K281" s="1"/>
      <c r="L281" s="1"/>
      <c r="M281" s="1"/>
      <c r="N281" s="1"/>
      <c r="O281" s="1"/>
      <c r="P281" s="1"/>
      <c r="Q281" s="1"/>
      <c r="R281" s="1"/>
      <c r="S281" s="1"/>
      <c r="T281" s="1"/>
      <c r="U281" s="1"/>
    </row>
    <row r="282" spans="1:21" ht="15.75" customHeight="1">
      <c r="A282" s="46">
        <v>281</v>
      </c>
      <c r="B282" s="46">
        <v>21405</v>
      </c>
      <c r="C282" s="47" t="s">
        <v>49</v>
      </c>
      <c r="D282" s="48">
        <v>44953</v>
      </c>
      <c r="E282" s="48">
        <v>44956</v>
      </c>
      <c r="F282" s="48">
        <v>44963</v>
      </c>
      <c r="G282" s="48">
        <v>44973</v>
      </c>
      <c r="H282" s="48">
        <v>44980</v>
      </c>
      <c r="I282" s="54">
        <f t="shared" si="5"/>
        <v>1</v>
      </c>
      <c r="J282" s="1"/>
      <c r="K282" s="1"/>
      <c r="L282" s="1"/>
      <c r="M282" s="1"/>
      <c r="N282" s="1"/>
      <c r="O282" s="1"/>
      <c r="P282" s="1"/>
      <c r="Q282" s="1"/>
      <c r="R282" s="1"/>
      <c r="S282" s="1"/>
      <c r="T282" s="1"/>
      <c r="U282" s="1"/>
    </row>
    <row r="283" spans="1:21" ht="15.75" customHeight="1">
      <c r="A283" s="50">
        <v>282</v>
      </c>
      <c r="B283" s="50">
        <v>27064</v>
      </c>
      <c r="C283" s="51" t="s">
        <v>33</v>
      </c>
      <c r="D283" s="52">
        <v>45000</v>
      </c>
      <c r="E283" s="52">
        <v>45006</v>
      </c>
      <c r="F283" s="52">
        <v>45027</v>
      </c>
      <c r="G283" s="52">
        <v>45033</v>
      </c>
      <c r="H283" s="52">
        <v>45038</v>
      </c>
      <c r="I283" s="53">
        <f t="shared" si="5"/>
        <v>1</v>
      </c>
      <c r="J283" s="1"/>
      <c r="K283" s="1"/>
      <c r="L283" s="1"/>
      <c r="M283" s="1"/>
      <c r="N283" s="1"/>
      <c r="O283" s="1"/>
      <c r="P283" s="1"/>
      <c r="Q283" s="1"/>
      <c r="R283" s="1"/>
      <c r="S283" s="1"/>
      <c r="T283" s="1"/>
      <c r="U283" s="1"/>
    </row>
    <row r="284" spans="1:21" ht="15.75" customHeight="1">
      <c r="A284" s="46">
        <v>283</v>
      </c>
      <c r="B284" s="46">
        <v>29473</v>
      </c>
      <c r="C284" s="47" t="s">
        <v>45</v>
      </c>
      <c r="D284" s="48">
        <v>44927</v>
      </c>
      <c r="E284" s="48">
        <v>44929</v>
      </c>
      <c r="F284" s="48">
        <v>44949</v>
      </c>
      <c r="G284" s="47"/>
      <c r="H284" s="47"/>
      <c r="I284" s="54">
        <f t="shared" si="5"/>
        <v>1</v>
      </c>
      <c r="J284" s="1"/>
      <c r="K284" s="1"/>
      <c r="L284" s="1"/>
      <c r="M284" s="1"/>
      <c r="N284" s="1"/>
      <c r="O284" s="1"/>
      <c r="P284" s="1"/>
      <c r="Q284" s="1"/>
      <c r="R284" s="1"/>
      <c r="S284" s="1"/>
      <c r="T284" s="1"/>
      <c r="U284" s="1"/>
    </row>
    <row r="285" spans="1:21" ht="15.75" customHeight="1">
      <c r="A285" s="50">
        <v>284</v>
      </c>
      <c r="B285" s="50">
        <v>11247</v>
      </c>
      <c r="C285" s="51" t="s">
        <v>45</v>
      </c>
      <c r="D285" s="52">
        <v>45040</v>
      </c>
      <c r="E285" s="52">
        <v>45045</v>
      </c>
      <c r="F285" s="52">
        <v>45058</v>
      </c>
      <c r="G285" s="52">
        <v>45064</v>
      </c>
      <c r="H285" s="52">
        <v>45068</v>
      </c>
      <c r="I285" s="53">
        <f t="shared" si="5"/>
        <v>1</v>
      </c>
      <c r="J285" s="1"/>
      <c r="K285" s="1"/>
      <c r="L285" s="1"/>
      <c r="M285" s="1"/>
      <c r="N285" s="1"/>
      <c r="O285" s="1"/>
      <c r="P285" s="1"/>
      <c r="Q285" s="1"/>
      <c r="R285" s="1"/>
      <c r="S285" s="1"/>
      <c r="T285" s="1"/>
      <c r="U285" s="1"/>
    </row>
    <row r="286" spans="1:21" ht="15.75" customHeight="1">
      <c r="A286" s="46">
        <v>285</v>
      </c>
      <c r="B286" s="46">
        <v>11849</v>
      </c>
      <c r="C286" s="47" t="s">
        <v>32</v>
      </c>
      <c r="D286" s="48">
        <v>45045</v>
      </c>
      <c r="E286" s="48">
        <v>45047</v>
      </c>
      <c r="F286" s="48">
        <v>45051</v>
      </c>
      <c r="G286" s="47"/>
      <c r="H286" s="47"/>
      <c r="I286" s="54">
        <f t="shared" si="5"/>
        <v>1</v>
      </c>
      <c r="J286" s="1"/>
      <c r="K286" s="1"/>
      <c r="L286" s="1"/>
      <c r="M286" s="1"/>
      <c r="N286" s="1"/>
      <c r="O286" s="1"/>
      <c r="P286" s="1"/>
      <c r="Q286" s="1"/>
      <c r="R286" s="1"/>
      <c r="S286" s="1"/>
      <c r="T286" s="1"/>
      <c r="U286" s="1"/>
    </row>
    <row r="287" spans="1:21" ht="15.75" customHeight="1">
      <c r="A287" s="50">
        <v>286</v>
      </c>
      <c r="B287" s="50">
        <v>22685</v>
      </c>
      <c r="C287" s="51" t="s">
        <v>49</v>
      </c>
      <c r="D287" s="52">
        <v>44955</v>
      </c>
      <c r="E287" s="52">
        <v>44958</v>
      </c>
      <c r="F287" s="52">
        <v>44958</v>
      </c>
      <c r="G287" s="52">
        <v>44974</v>
      </c>
      <c r="H287" s="52">
        <v>44976</v>
      </c>
      <c r="I287" s="53">
        <f t="shared" si="5"/>
        <v>1</v>
      </c>
      <c r="J287" s="1"/>
      <c r="K287" s="1"/>
      <c r="L287" s="1"/>
      <c r="M287" s="1"/>
      <c r="N287" s="1"/>
      <c r="O287" s="1"/>
      <c r="P287" s="1"/>
      <c r="Q287" s="1"/>
      <c r="R287" s="1"/>
      <c r="S287" s="1"/>
      <c r="T287" s="1"/>
      <c r="U287" s="1"/>
    </row>
    <row r="288" spans="1:21" ht="15.75" customHeight="1">
      <c r="A288" s="46">
        <v>287</v>
      </c>
      <c r="B288" s="46">
        <v>23261</v>
      </c>
      <c r="C288" s="47" t="s">
        <v>33</v>
      </c>
      <c r="D288" s="48">
        <v>45010</v>
      </c>
      <c r="E288" s="48">
        <v>45015</v>
      </c>
      <c r="F288" s="48">
        <v>45030</v>
      </c>
      <c r="G288" s="47"/>
      <c r="H288" s="47"/>
      <c r="I288" s="54">
        <f t="shared" si="5"/>
        <v>1</v>
      </c>
      <c r="J288" s="1"/>
      <c r="K288" s="1"/>
      <c r="L288" s="1"/>
      <c r="M288" s="1"/>
      <c r="N288" s="1"/>
      <c r="O288" s="1"/>
      <c r="P288" s="1"/>
      <c r="Q288" s="1"/>
      <c r="R288" s="1"/>
      <c r="S288" s="1"/>
      <c r="T288" s="1"/>
      <c r="U288" s="1"/>
    </row>
    <row r="289" spans="1:21" ht="15.75" customHeight="1">
      <c r="A289" s="50">
        <v>288</v>
      </c>
      <c r="B289" s="50">
        <v>28819</v>
      </c>
      <c r="C289" s="51" t="s">
        <v>31</v>
      </c>
      <c r="D289" s="52">
        <v>44937</v>
      </c>
      <c r="E289" s="52">
        <v>44937</v>
      </c>
      <c r="F289" s="51"/>
      <c r="G289" s="52">
        <v>44966</v>
      </c>
      <c r="H289" s="52">
        <v>44971</v>
      </c>
      <c r="I289" s="53">
        <f t="shared" si="5"/>
        <v>0</v>
      </c>
      <c r="J289" s="1"/>
      <c r="K289" s="1"/>
      <c r="L289" s="1"/>
      <c r="M289" s="1"/>
      <c r="N289" s="1"/>
      <c r="O289" s="1"/>
      <c r="P289" s="1"/>
      <c r="Q289" s="1"/>
      <c r="R289" s="1"/>
      <c r="S289" s="1"/>
      <c r="T289" s="1"/>
      <c r="U289" s="1"/>
    </row>
    <row r="290" spans="1:21" ht="15.75" customHeight="1">
      <c r="A290" s="46">
        <v>289</v>
      </c>
      <c r="B290" s="46">
        <v>10071</v>
      </c>
      <c r="C290" s="47" t="s">
        <v>31</v>
      </c>
      <c r="D290" s="48">
        <v>44990</v>
      </c>
      <c r="E290" s="48">
        <v>44991</v>
      </c>
      <c r="F290" s="48">
        <v>44995</v>
      </c>
      <c r="G290" s="48">
        <v>45013</v>
      </c>
      <c r="H290" s="48">
        <v>45019</v>
      </c>
      <c r="I290" s="54">
        <f t="shared" si="5"/>
        <v>1</v>
      </c>
      <c r="J290" s="1"/>
      <c r="K290" s="1"/>
      <c r="L290" s="1"/>
      <c r="M290" s="1"/>
      <c r="N290" s="1"/>
      <c r="O290" s="1"/>
      <c r="P290" s="1"/>
      <c r="Q290" s="1"/>
      <c r="R290" s="1"/>
      <c r="S290" s="1"/>
      <c r="T290" s="1"/>
      <c r="U290" s="1"/>
    </row>
    <row r="291" spans="1:21" ht="15.75" customHeight="1">
      <c r="A291" s="50">
        <v>290</v>
      </c>
      <c r="B291" s="50">
        <v>25994</v>
      </c>
      <c r="C291" s="51" t="s">
        <v>31</v>
      </c>
      <c r="D291" s="52">
        <v>45039</v>
      </c>
      <c r="E291" s="52">
        <v>45041</v>
      </c>
      <c r="F291" s="52">
        <v>45045</v>
      </c>
      <c r="G291" s="52">
        <v>45062</v>
      </c>
      <c r="H291" s="52">
        <v>45064</v>
      </c>
      <c r="I291" s="53">
        <f t="shared" si="5"/>
        <v>1</v>
      </c>
      <c r="J291" s="1"/>
      <c r="K291" s="1"/>
      <c r="L291" s="1"/>
      <c r="M291" s="1"/>
      <c r="N291" s="1"/>
      <c r="O291" s="1"/>
      <c r="P291" s="1"/>
      <c r="Q291" s="1"/>
      <c r="R291" s="1"/>
      <c r="S291" s="1"/>
      <c r="T291" s="1"/>
      <c r="U291" s="1"/>
    </row>
    <row r="292" spans="1:21" ht="15.75" customHeight="1">
      <c r="A292" s="46">
        <v>291</v>
      </c>
      <c r="B292" s="46">
        <v>12603</v>
      </c>
      <c r="C292" s="47" t="s">
        <v>32</v>
      </c>
      <c r="D292" s="48">
        <v>45070</v>
      </c>
      <c r="E292" s="48">
        <v>45071</v>
      </c>
      <c r="F292" s="48">
        <v>45096</v>
      </c>
      <c r="G292" s="47"/>
      <c r="H292" s="47"/>
      <c r="I292" s="54">
        <f t="shared" si="5"/>
        <v>1</v>
      </c>
      <c r="J292" s="1"/>
      <c r="K292" s="1"/>
      <c r="L292" s="1"/>
      <c r="M292" s="1"/>
      <c r="N292" s="1"/>
      <c r="O292" s="1"/>
      <c r="P292" s="1"/>
      <c r="Q292" s="1"/>
      <c r="R292" s="1"/>
      <c r="S292" s="1"/>
      <c r="T292" s="1"/>
      <c r="U292" s="1"/>
    </row>
    <row r="293" spans="1:21" ht="15.75" customHeight="1">
      <c r="A293" s="50">
        <v>292</v>
      </c>
      <c r="B293" s="50">
        <v>23717</v>
      </c>
      <c r="C293" s="51" t="s">
        <v>45</v>
      </c>
      <c r="D293" s="52">
        <v>44943</v>
      </c>
      <c r="E293" s="52">
        <v>44948</v>
      </c>
      <c r="F293" s="52">
        <v>44973</v>
      </c>
      <c r="G293" s="51"/>
      <c r="H293" s="51"/>
      <c r="I293" s="53">
        <f t="shared" si="5"/>
        <v>1</v>
      </c>
      <c r="J293" s="1"/>
      <c r="K293" s="1"/>
      <c r="L293" s="1"/>
      <c r="M293" s="1"/>
      <c r="N293" s="1"/>
      <c r="O293" s="1"/>
      <c r="P293" s="1"/>
      <c r="Q293" s="1"/>
      <c r="R293" s="1"/>
      <c r="S293" s="1"/>
      <c r="T293" s="1"/>
      <c r="U293" s="1"/>
    </row>
    <row r="294" spans="1:21" ht="15.75" customHeight="1">
      <c r="A294" s="46">
        <v>293</v>
      </c>
      <c r="B294" s="46">
        <v>18804</v>
      </c>
      <c r="C294" s="47" t="s">
        <v>45</v>
      </c>
      <c r="D294" s="48">
        <v>45040</v>
      </c>
      <c r="E294" s="48">
        <v>45041</v>
      </c>
      <c r="F294" s="48">
        <v>45055</v>
      </c>
      <c r="G294" s="48">
        <v>45059</v>
      </c>
      <c r="H294" s="48">
        <v>45065</v>
      </c>
      <c r="I294" s="54">
        <f t="shared" si="5"/>
        <v>1</v>
      </c>
      <c r="J294" s="1"/>
      <c r="K294" s="1"/>
      <c r="L294" s="1"/>
      <c r="M294" s="1"/>
      <c r="N294" s="1"/>
      <c r="O294" s="1"/>
      <c r="P294" s="1"/>
      <c r="Q294" s="1"/>
      <c r="R294" s="1"/>
      <c r="S294" s="1"/>
      <c r="T294" s="1"/>
      <c r="U294" s="1"/>
    </row>
    <row r="295" spans="1:21" ht="15.75" customHeight="1">
      <c r="A295" s="50">
        <v>294</v>
      </c>
      <c r="B295" s="50">
        <v>14543</v>
      </c>
      <c r="C295" s="51" t="s">
        <v>49</v>
      </c>
      <c r="D295" s="52">
        <v>45019</v>
      </c>
      <c r="E295" s="52">
        <v>45019</v>
      </c>
      <c r="F295" s="52">
        <v>45039</v>
      </c>
      <c r="G295" s="52">
        <v>45043</v>
      </c>
      <c r="H295" s="52">
        <v>45047</v>
      </c>
      <c r="I295" s="53">
        <f t="shared" ref="I295:I301" si="6">IF(ISBLANK(F295),0,1)</f>
        <v>1</v>
      </c>
      <c r="J295" s="1"/>
      <c r="K295" s="1"/>
      <c r="L295" s="1"/>
      <c r="M295" s="1"/>
      <c r="N295" s="1"/>
      <c r="O295" s="1"/>
      <c r="P295" s="1"/>
      <c r="Q295" s="1"/>
      <c r="R295" s="1"/>
      <c r="S295" s="1"/>
      <c r="T295" s="1"/>
      <c r="U295" s="1"/>
    </row>
    <row r="296" spans="1:21" ht="15.75" customHeight="1">
      <c r="A296" s="46">
        <v>295</v>
      </c>
      <c r="B296" s="46">
        <v>27569</v>
      </c>
      <c r="C296" s="47" t="s">
        <v>31</v>
      </c>
      <c r="D296" s="48">
        <v>45061</v>
      </c>
      <c r="E296" s="48">
        <v>45065</v>
      </c>
      <c r="F296" s="47"/>
      <c r="G296" s="48">
        <v>45078</v>
      </c>
      <c r="H296" s="48">
        <v>45084</v>
      </c>
      <c r="I296" s="54">
        <f t="shared" si="6"/>
        <v>0</v>
      </c>
      <c r="J296" s="1"/>
      <c r="K296" s="1"/>
      <c r="L296" s="1"/>
      <c r="M296" s="1"/>
      <c r="N296" s="1"/>
      <c r="O296" s="1"/>
      <c r="P296" s="1"/>
      <c r="Q296" s="1"/>
      <c r="R296" s="1"/>
      <c r="S296" s="1"/>
      <c r="T296" s="1"/>
      <c r="U296" s="1"/>
    </row>
    <row r="297" spans="1:21" ht="15.75" customHeight="1">
      <c r="A297" s="50">
        <v>296</v>
      </c>
      <c r="B297" s="50">
        <v>14322</v>
      </c>
      <c r="C297" s="51" t="s">
        <v>31</v>
      </c>
      <c r="D297" s="52">
        <v>44978</v>
      </c>
      <c r="E297" s="52">
        <v>44984</v>
      </c>
      <c r="F297" s="51"/>
      <c r="G297" s="52">
        <v>44997</v>
      </c>
      <c r="H297" s="52">
        <v>45003</v>
      </c>
      <c r="I297" s="53">
        <f t="shared" si="6"/>
        <v>0</v>
      </c>
      <c r="J297" s="1"/>
      <c r="K297" s="1"/>
      <c r="L297" s="1"/>
      <c r="M297" s="1"/>
      <c r="N297" s="1"/>
      <c r="O297" s="1"/>
      <c r="P297" s="1"/>
      <c r="Q297" s="1"/>
      <c r="R297" s="1"/>
      <c r="S297" s="1"/>
      <c r="T297" s="1"/>
      <c r="U297" s="1"/>
    </row>
    <row r="298" spans="1:21" ht="15.75" customHeight="1">
      <c r="A298" s="46">
        <v>297</v>
      </c>
      <c r="B298" s="46">
        <v>28846</v>
      </c>
      <c r="C298" s="47" t="s">
        <v>33</v>
      </c>
      <c r="D298" s="48">
        <v>44933</v>
      </c>
      <c r="E298" s="48">
        <v>44936</v>
      </c>
      <c r="F298" s="48">
        <v>44952</v>
      </c>
      <c r="G298" s="47"/>
      <c r="H298" s="47"/>
      <c r="I298" s="54">
        <f t="shared" si="6"/>
        <v>1</v>
      </c>
      <c r="J298" s="1"/>
      <c r="K298" s="1"/>
      <c r="L298" s="1"/>
      <c r="M298" s="1"/>
      <c r="N298" s="1"/>
      <c r="O298" s="1"/>
      <c r="P298" s="1"/>
      <c r="Q298" s="1"/>
      <c r="R298" s="1"/>
      <c r="S298" s="1"/>
      <c r="T298" s="1"/>
      <c r="U298" s="1"/>
    </row>
    <row r="299" spans="1:21" ht="15.75" customHeight="1">
      <c r="A299" s="50">
        <v>298</v>
      </c>
      <c r="B299" s="50">
        <v>13694</v>
      </c>
      <c r="C299" s="51" t="s">
        <v>33</v>
      </c>
      <c r="D299" s="52">
        <v>44946</v>
      </c>
      <c r="E299" s="52">
        <v>44946</v>
      </c>
      <c r="F299" s="52">
        <v>44949</v>
      </c>
      <c r="G299" s="51"/>
      <c r="H299" s="51"/>
      <c r="I299" s="53">
        <f t="shared" si="6"/>
        <v>1</v>
      </c>
      <c r="J299" s="1"/>
      <c r="K299" s="1"/>
      <c r="L299" s="1"/>
      <c r="M299" s="1"/>
      <c r="N299" s="1"/>
      <c r="O299" s="1"/>
      <c r="P299" s="1"/>
      <c r="Q299" s="1"/>
      <c r="R299" s="1"/>
      <c r="S299" s="1"/>
      <c r="T299" s="1"/>
      <c r="U299" s="1"/>
    </row>
    <row r="300" spans="1:21" ht="15.75" customHeight="1">
      <c r="A300" s="46">
        <v>299</v>
      </c>
      <c r="B300" s="46">
        <v>10075</v>
      </c>
      <c r="C300" s="47" t="s">
        <v>33</v>
      </c>
      <c r="D300" s="48">
        <v>44970</v>
      </c>
      <c r="E300" s="48">
        <v>44973</v>
      </c>
      <c r="F300" s="48">
        <v>44977</v>
      </c>
      <c r="G300" s="48">
        <v>45002</v>
      </c>
      <c r="H300" s="48">
        <v>45008</v>
      </c>
      <c r="I300" s="54">
        <f t="shared" si="6"/>
        <v>1</v>
      </c>
      <c r="J300" s="1"/>
      <c r="K300" s="1"/>
      <c r="L300" s="1"/>
      <c r="M300" s="1"/>
      <c r="N300" s="1"/>
      <c r="O300" s="1"/>
      <c r="P300" s="1"/>
      <c r="Q300" s="1"/>
      <c r="R300" s="1"/>
      <c r="S300" s="1"/>
      <c r="T300" s="1"/>
      <c r="U300" s="1"/>
    </row>
    <row r="301" spans="1:21" ht="15.75" customHeight="1">
      <c r="A301" s="55">
        <v>300</v>
      </c>
      <c r="B301" s="55">
        <v>22196</v>
      </c>
      <c r="C301" s="56" t="s">
        <v>49</v>
      </c>
      <c r="D301" s="57">
        <v>45005</v>
      </c>
      <c r="E301" s="57">
        <v>45008</v>
      </c>
      <c r="F301" s="57">
        <v>45021</v>
      </c>
      <c r="G301" s="56"/>
      <c r="H301" s="56"/>
      <c r="I301" s="58">
        <f t="shared" si="6"/>
        <v>1</v>
      </c>
      <c r="J301" s="1"/>
      <c r="K301" s="1"/>
      <c r="L301" s="1"/>
      <c r="M301" s="1"/>
      <c r="N301" s="1"/>
      <c r="O301" s="1"/>
      <c r="P301" s="1"/>
      <c r="Q301" s="1"/>
      <c r="R301" s="1"/>
      <c r="S301" s="1"/>
      <c r="T301" s="1"/>
      <c r="U301" s="1"/>
    </row>
    <row r="302" spans="1:21" ht="15.75" customHeight="1">
      <c r="I302" s="1"/>
      <c r="J302" s="1"/>
      <c r="K302" s="1"/>
      <c r="L302" s="1"/>
      <c r="M302" s="1"/>
      <c r="N302" s="1"/>
      <c r="O302" s="1"/>
      <c r="P302" s="1"/>
      <c r="Q302" s="1"/>
      <c r="R302" s="1"/>
      <c r="S302" s="1"/>
      <c r="T302" s="1"/>
      <c r="U302" s="1"/>
    </row>
    <row r="303" spans="1:21" ht="15.75" customHeight="1">
      <c r="A303" s="1"/>
      <c r="B303" s="1"/>
      <c r="C303" s="1"/>
      <c r="D303" s="1"/>
      <c r="E303" s="1"/>
      <c r="F303" s="1"/>
      <c r="G303" s="1"/>
      <c r="H303" s="1"/>
      <c r="I303" s="1"/>
      <c r="J303" s="1"/>
      <c r="K303" s="1"/>
      <c r="L303" s="1"/>
      <c r="M303" s="1"/>
      <c r="N303" s="1"/>
      <c r="O303" s="1"/>
      <c r="P303" s="1"/>
      <c r="Q303" s="1"/>
      <c r="R303" s="1"/>
      <c r="S303" s="1"/>
      <c r="T303" s="1"/>
      <c r="U303" s="1"/>
    </row>
    <row r="304" spans="1:21" ht="15.75" customHeight="1">
      <c r="A304" s="1"/>
      <c r="B304" s="1"/>
      <c r="C304" s="1"/>
      <c r="D304" s="1"/>
      <c r="E304" s="1"/>
      <c r="F304" s="1"/>
      <c r="G304" s="1"/>
      <c r="H304" s="1"/>
      <c r="I304" s="1"/>
      <c r="J304" s="1"/>
      <c r="K304" s="1"/>
      <c r="L304" s="1"/>
      <c r="M304" s="1"/>
      <c r="N304" s="1"/>
      <c r="O304" s="1"/>
      <c r="P304" s="1"/>
      <c r="Q304" s="1"/>
      <c r="R304" s="1"/>
      <c r="S304" s="1"/>
      <c r="T304" s="1"/>
      <c r="U304" s="1"/>
    </row>
    <row r="305" spans="1:21" ht="15.75" customHeight="1">
      <c r="A305" s="1"/>
      <c r="B305" s="1"/>
      <c r="C305" s="1"/>
      <c r="D305" s="1"/>
      <c r="E305" s="1"/>
      <c r="F305" s="1"/>
      <c r="G305" s="1"/>
      <c r="H305" s="1"/>
      <c r="I305" s="1"/>
      <c r="J305" s="1"/>
      <c r="K305" s="1"/>
      <c r="L305" s="1"/>
      <c r="M305" s="1"/>
      <c r="N305" s="1"/>
      <c r="O305" s="1"/>
      <c r="P305" s="1"/>
      <c r="Q305" s="1"/>
      <c r="R305" s="1"/>
      <c r="S305" s="1"/>
      <c r="T305" s="1"/>
      <c r="U305" s="1"/>
    </row>
    <row r="306" spans="1:21" ht="15.75" customHeight="1">
      <c r="A306" s="1"/>
      <c r="B306" s="1"/>
      <c r="C306" s="1"/>
      <c r="D306" s="1"/>
      <c r="E306" s="1"/>
      <c r="F306" s="1"/>
      <c r="G306" s="1"/>
      <c r="H306" s="1"/>
      <c r="I306" s="1"/>
      <c r="J306" s="1"/>
      <c r="K306" s="1"/>
      <c r="L306" s="1"/>
      <c r="M306" s="1"/>
      <c r="N306" s="1"/>
      <c r="O306" s="1"/>
      <c r="P306" s="1"/>
      <c r="Q306" s="1"/>
      <c r="R306" s="1"/>
      <c r="S306" s="1"/>
      <c r="T306" s="1"/>
      <c r="U306" s="1"/>
    </row>
    <row r="307" spans="1:21" ht="15.75" customHeight="1">
      <c r="A307" s="1"/>
      <c r="B307" s="1"/>
      <c r="C307" s="1"/>
      <c r="D307" s="1"/>
      <c r="E307" s="1"/>
      <c r="F307" s="1"/>
      <c r="G307" s="1"/>
      <c r="H307" s="1"/>
      <c r="I307" s="1"/>
      <c r="J307" s="1"/>
      <c r="K307" s="1"/>
      <c r="L307" s="1"/>
      <c r="M307" s="1"/>
      <c r="N307" s="1"/>
      <c r="O307" s="1"/>
      <c r="P307" s="1"/>
      <c r="Q307" s="1"/>
      <c r="R307" s="1"/>
      <c r="S307" s="1"/>
      <c r="T307" s="1"/>
      <c r="U307" s="1"/>
    </row>
    <row r="308" spans="1:21" ht="15.75" customHeight="1">
      <c r="A308" s="1"/>
      <c r="B308" s="1"/>
      <c r="C308" s="1"/>
      <c r="D308" s="1"/>
      <c r="E308" s="1"/>
      <c r="F308" s="1"/>
      <c r="G308" s="1"/>
      <c r="H308" s="1"/>
      <c r="I308" s="1"/>
      <c r="J308" s="1"/>
      <c r="K308" s="1"/>
      <c r="L308" s="1"/>
      <c r="M308" s="1"/>
      <c r="N308" s="1"/>
      <c r="O308" s="1"/>
      <c r="P308" s="1"/>
      <c r="Q308" s="1"/>
      <c r="R308" s="1"/>
      <c r="S308" s="1"/>
      <c r="T308" s="1"/>
      <c r="U308" s="1"/>
    </row>
    <row r="309" spans="1:21" ht="15.75" customHeight="1">
      <c r="A309" s="1"/>
      <c r="B309" s="1"/>
      <c r="C309" s="1"/>
      <c r="D309" s="1"/>
      <c r="E309" s="1"/>
      <c r="F309" s="1"/>
      <c r="G309" s="1"/>
      <c r="H309" s="1"/>
      <c r="I309" s="1"/>
      <c r="J309" s="1"/>
      <c r="K309" s="1"/>
      <c r="L309" s="1"/>
      <c r="M309" s="1"/>
      <c r="N309" s="1"/>
      <c r="O309" s="1"/>
      <c r="P309" s="1"/>
      <c r="Q309" s="1"/>
      <c r="R309" s="1"/>
      <c r="S309" s="1"/>
      <c r="T309" s="1"/>
      <c r="U309" s="1"/>
    </row>
    <row r="310" spans="1:21" ht="15.75" customHeight="1">
      <c r="A310" s="1"/>
      <c r="B310" s="1"/>
      <c r="C310" s="1"/>
      <c r="D310" s="1"/>
      <c r="E310" s="1"/>
      <c r="F310" s="1"/>
      <c r="G310" s="1"/>
      <c r="H310" s="1"/>
      <c r="I310" s="1"/>
      <c r="J310" s="1"/>
      <c r="K310" s="1"/>
      <c r="L310" s="1"/>
      <c r="M310" s="1"/>
      <c r="N310" s="1"/>
      <c r="O310" s="1"/>
      <c r="P310" s="1"/>
      <c r="Q310" s="1"/>
      <c r="R310" s="1"/>
      <c r="S310" s="1"/>
      <c r="T310" s="1"/>
      <c r="U310" s="1"/>
    </row>
    <row r="311" spans="1:21" ht="15.75" customHeight="1">
      <c r="A311" s="1"/>
      <c r="B311" s="1"/>
      <c r="C311" s="1"/>
      <c r="D311" s="1"/>
      <c r="E311" s="1"/>
      <c r="F311" s="1"/>
      <c r="G311" s="1"/>
      <c r="H311" s="1"/>
      <c r="I311" s="1"/>
      <c r="J311" s="1"/>
      <c r="K311" s="1"/>
      <c r="L311" s="1"/>
      <c r="M311" s="1"/>
      <c r="N311" s="1"/>
      <c r="O311" s="1"/>
      <c r="P311" s="1"/>
      <c r="Q311" s="1"/>
      <c r="R311" s="1"/>
      <c r="S311" s="1"/>
      <c r="T311" s="1"/>
      <c r="U311" s="1"/>
    </row>
    <row r="312" spans="1:21" ht="15.75" customHeight="1">
      <c r="A312" s="1"/>
      <c r="B312" s="1"/>
      <c r="C312" s="1"/>
      <c r="D312" s="1"/>
      <c r="E312" s="1"/>
      <c r="F312" s="1"/>
      <c r="G312" s="1"/>
      <c r="H312" s="1"/>
      <c r="I312" s="1"/>
      <c r="J312" s="1"/>
      <c r="K312" s="1"/>
      <c r="L312" s="1"/>
      <c r="M312" s="1"/>
      <c r="N312" s="1"/>
      <c r="O312" s="1"/>
      <c r="P312" s="1"/>
      <c r="Q312" s="1"/>
      <c r="R312" s="1"/>
      <c r="S312" s="1"/>
      <c r="T312" s="1"/>
      <c r="U312" s="1"/>
    </row>
    <row r="313" spans="1:21" ht="15.75" customHeight="1">
      <c r="A313" s="1"/>
      <c r="B313" s="1"/>
      <c r="C313" s="1"/>
      <c r="D313" s="1"/>
      <c r="E313" s="1"/>
      <c r="F313" s="1"/>
      <c r="G313" s="1"/>
      <c r="H313" s="1"/>
      <c r="I313" s="1"/>
      <c r="J313" s="1"/>
      <c r="K313" s="1"/>
      <c r="L313" s="1"/>
      <c r="M313" s="1"/>
      <c r="N313" s="1"/>
      <c r="O313" s="1"/>
      <c r="P313" s="1"/>
      <c r="Q313" s="1"/>
      <c r="R313" s="1"/>
      <c r="S313" s="1"/>
      <c r="T313" s="1"/>
      <c r="U313" s="1"/>
    </row>
    <row r="314" spans="1:21" ht="15.75" customHeight="1">
      <c r="A314" s="1"/>
      <c r="B314" s="1"/>
      <c r="C314" s="1"/>
      <c r="D314" s="1"/>
      <c r="E314" s="1"/>
      <c r="F314" s="1"/>
      <c r="G314" s="1"/>
      <c r="H314" s="1"/>
      <c r="I314" s="1"/>
      <c r="J314" s="1"/>
      <c r="K314" s="1"/>
      <c r="L314" s="1"/>
      <c r="M314" s="1"/>
      <c r="N314" s="1"/>
      <c r="O314" s="1"/>
      <c r="P314" s="1"/>
      <c r="Q314" s="1"/>
      <c r="R314" s="1"/>
      <c r="S314" s="1"/>
      <c r="T314" s="1"/>
      <c r="U314" s="1"/>
    </row>
    <row r="315" spans="1:21" ht="15.75" customHeight="1">
      <c r="A315" s="1"/>
      <c r="B315" s="1"/>
      <c r="C315" s="1"/>
      <c r="D315" s="1"/>
      <c r="E315" s="1"/>
      <c r="F315" s="1"/>
      <c r="G315" s="1"/>
      <c r="H315" s="1"/>
      <c r="I315" s="1"/>
      <c r="J315" s="1"/>
      <c r="K315" s="1"/>
      <c r="L315" s="1"/>
      <c r="M315" s="1"/>
      <c r="N315" s="1"/>
      <c r="O315" s="1"/>
      <c r="P315" s="1"/>
      <c r="Q315" s="1"/>
      <c r="R315" s="1"/>
      <c r="S315" s="1"/>
      <c r="T315" s="1"/>
      <c r="U315" s="1"/>
    </row>
    <row r="316" spans="1:21" ht="15.75" customHeight="1">
      <c r="A316" s="1"/>
      <c r="B316" s="1"/>
      <c r="C316" s="1"/>
      <c r="D316" s="1"/>
      <c r="E316" s="1"/>
      <c r="F316" s="1"/>
      <c r="G316" s="1"/>
      <c r="H316" s="1"/>
      <c r="I316" s="1"/>
      <c r="J316" s="1"/>
      <c r="K316" s="1"/>
      <c r="L316" s="1"/>
      <c r="M316" s="1"/>
      <c r="N316" s="1"/>
      <c r="O316" s="1"/>
      <c r="P316" s="1"/>
      <c r="Q316" s="1"/>
      <c r="R316" s="1"/>
      <c r="S316" s="1"/>
      <c r="T316" s="1"/>
      <c r="U316" s="1"/>
    </row>
    <row r="317" spans="1:21" ht="15.75" customHeight="1">
      <c r="A317" s="1"/>
      <c r="B317" s="1"/>
      <c r="C317" s="1"/>
      <c r="D317" s="1"/>
      <c r="E317" s="1"/>
      <c r="F317" s="1"/>
      <c r="G317" s="1"/>
      <c r="H317" s="1"/>
      <c r="I317" s="1"/>
      <c r="J317" s="1"/>
      <c r="K317" s="1"/>
      <c r="L317" s="1"/>
      <c r="M317" s="1"/>
      <c r="N317" s="1"/>
      <c r="O317" s="1"/>
      <c r="P317" s="1"/>
      <c r="Q317" s="1"/>
      <c r="R317" s="1"/>
      <c r="S317" s="1"/>
      <c r="T317" s="1"/>
      <c r="U317" s="1"/>
    </row>
    <row r="318" spans="1:21" ht="15.75" customHeight="1">
      <c r="A318" s="1"/>
      <c r="B318" s="1"/>
      <c r="C318" s="1"/>
      <c r="D318" s="1"/>
      <c r="E318" s="1"/>
      <c r="F318" s="1"/>
      <c r="G318" s="1"/>
      <c r="H318" s="1"/>
      <c r="I318" s="1"/>
      <c r="J318" s="1"/>
      <c r="K318" s="1"/>
      <c r="L318" s="1"/>
      <c r="M318" s="1"/>
      <c r="N318" s="1"/>
      <c r="O318" s="1"/>
      <c r="P318" s="1"/>
      <c r="Q318" s="1"/>
      <c r="R318" s="1"/>
      <c r="S318" s="1"/>
      <c r="T318" s="1"/>
      <c r="U318" s="1"/>
    </row>
    <row r="319" spans="1:21" ht="15.75" customHeight="1">
      <c r="A319" s="1"/>
      <c r="B319" s="1"/>
      <c r="C319" s="1"/>
      <c r="D319" s="1"/>
      <c r="E319" s="1"/>
      <c r="F319" s="1"/>
      <c r="G319" s="1"/>
      <c r="H319" s="1"/>
      <c r="I319" s="1"/>
      <c r="J319" s="1"/>
      <c r="K319" s="1"/>
      <c r="L319" s="1"/>
      <c r="M319" s="1"/>
      <c r="N319" s="1"/>
      <c r="O319" s="1"/>
      <c r="P319" s="1"/>
      <c r="Q319" s="1"/>
      <c r="R319" s="1"/>
      <c r="S319" s="1"/>
      <c r="T319" s="1"/>
      <c r="U319" s="1"/>
    </row>
    <row r="320" spans="1:21" ht="15.75" customHeight="1">
      <c r="A320" s="1"/>
      <c r="B320" s="1"/>
      <c r="C320" s="1"/>
      <c r="D320" s="1"/>
      <c r="E320" s="1"/>
      <c r="F320" s="1"/>
      <c r="G320" s="1"/>
      <c r="H320" s="1"/>
      <c r="I320" s="1"/>
      <c r="J320" s="1"/>
      <c r="K320" s="1"/>
      <c r="L320" s="1"/>
      <c r="M320" s="1"/>
      <c r="N320" s="1"/>
      <c r="O320" s="1"/>
      <c r="P320" s="1"/>
      <c r="Q320" s="1"/>
      <c r="R320" s="1"/>
      <c r="S320" s="1"/>
      <c r="T320" s="1"/>
      <c r="U320" s="1"/>
    </row>
    <row r="321" spans="1:21" ht="15.75" customHeight="1">
      <c r="A321" s="1"/>
      <c r="B321" s="1"/>
      <c r="C321" s="1"/>
      <c r="D321" s="1"/>
      <c r="E321" s="1"/>
      <c r="F321" s="1"/>
      <c r="G321" s="1"/>
      <c r="H321" s="1"/>
      <c r="I321" s="1"/>
      <c r="J321" s="1"/>
      <c r="K321" s="1"/>
      <c r="L321" s="1"/>
      <c r="M321" s="1"/>
      <c r="N321" s="1"/>
      <c r="O321" s="1"/>
      <c r="P321" s="1"/>
      <c r="Q321" s="1"/>
      <c r="R321" s="1"/>
      <c r="S321" s="1"/>
      <c r="T321" s="1"/>
      <c r="U321" s="1"/>
    </row>
    <row r="322" spans="1:21" ht="15.75" customHeight="1">
      <c r="A322" s="1"/>
      <c r="B322" s="1"/>
      <c r="C322" s="1"/>
      <c r="D322" s="1"/>
      <c r="E322" s="1"/>
      <c r="F322" s="1"/>
      <c r="G322" s="1"/>
      <c r="H322" s="1"/>
      <c r="I322" s="1"/>
      <c r="J322" s="1"/>
      <c r="K322" s="1"/>
      <c r="L322" s="1"/>
      <c r="M322" s="1"/>
      <c r="N322" s="1"/>
      <c r="O322" s="1"/>
      <c r="P322" s="1"/>
      <c r="Q322" s="1"/>
      <c r="R322" s="1"/>
      <c r="S322" s="1"/>
      <c r="T322" s="1"/>
      <c r="U322" s="1"/>
    </row>
    <row r="323" spans="1:21" ht="15.75" customHeight="1">
      <c r="A323" s="1"/>
      <c r="B323" s="1"/>
      <c r="C323" s="1"/>
      <c r="D323" s="1"/>
      <c r="E323" s="1"/>
      <c r="F323" s="1"/>
      <c r="G323" s="1"/>
      <c r="H323" s="1"/>
      <c r="I323" s="1"/>
      <c r="J323" s="1"/>
      <c r="K323" s="1"/>
      <c r="L323" s="1"/>
      <c r="M323" s="1"/>
      <c r="N323" s="1"/>
      <c r="O323" s="1"/>
      <c r="P323" s="1"/>
      <c r="Q323" s="1"/>
      <c r="R323" s="1"/>
      <c r="S323" s="1"/>
      <c r="T323" s="1"/>
      <c r="U323" s="1"/>
    </row>
    <row r="324" spans="1:21" ht="15.75" customHeight="1">
      <c r="A324" s="1"/>
      <c r="B324" s="1"/>
      <c r="C324" s="1"/>
      <c r="D324" s="1"/>
      <c r="E324" s="1"/>
      <c r="F324" s="1"/>
      <c r="G324" s="1"/>
      <c r="H324" s="1"/>
      <c r="I324" s="1"/>
      <c r="J324" s="1"/>
      <c r="K324" s="1"/>
      <c r="L324" s="1"/>
      <c r="M324" s="1"/>
      <c r="N324" s="1"/>
      <c r="O324" s="1"/>
      <c r="P324" s="1"/>
      <c r="Q324" s="1"/>
      <c r="R324" s="1"/>
      <c r="S324" s="1"/>
      <c r="T324" s="1"/>
      <c r="U324" s="1"/>
    </row>
    <row r="325" spans="1:21" ht="15.75" customHeight="1">
      <c r="A325" s="1"/>
      <c r="B325" s="1"/>
      <c r="C325" s="1"/>
      <c r="D325" s="1"/>
      <c r="E325" s="1"/>
      <c r="F325" s="1"/>
      <c r="G325" s="1"/>
      <c r="H325" s="1"/>
      <c r="I325" s="1"/>
      <c r="J325" s="1"/>
      <c r="K325" s="1"/>
      <c r="L325" s="1"/>
      <c r="M325" s="1"/>
      <c r="N325" s="1"/>
      <c r="O325" s="1"/>
      <c r="P325" s="1"/>
      <c r="Q325" s="1"/>
      <c r="R325" s="1"/>
      <c r="S325" s="1"/>
      <c r="T325" s="1"/>
      <c r="U325" s="1"/>
    </row>
    <row r="326" spans="1:21" ht="15.75" customHeight="1">
      <c r="A326" s="1"/>
      <c r="B326" s="1"/>
      <c r="C326" s="1"/>
      <c r="D326" s="1"/>
      <c r="E326" s="1"/>
      <c r="F326" s="1"/>
      <c r="G326" s="1"/>
      <c r="H326" s="1"/>
      <c r="I326" s="1"/>
      <c r="J326" s="1"/>
      <c r="K326" s="1"/>
      <c r="L326" s="1"/>
      <c r="M326" s="1"/>
      <c r="N326" s="1"/>
      <c r="O326" s="1"/>
      <c r="P326" s="1"/>
      <c r="Q326" s="1"/>
      <c r="R326" s="1"/>
      <c r="S326" s="1"/>
      <c r="T326" s="1"/>
      <c r="U326" s="1"/>
    </row>
    <row r="327" spans="1:21" ht="15.75" customHeight="1">
      <c r="A327" s="1"/>
      <c r="B327" s="1"/>
      <c r="C327" s="1"/>
      <c r="D327" s="1"/>
      <c r="E327" s="1"/>
      <c r="F327" s="1"/>
      <c r="G327" s="1"/>
      <c r="H327" s="1"/>
      <c r="I327" s="1"/>
      <c r="J327" s="1"/>
      <c r="K327" s="1"/>
      <c r="L327" s="1"/>
      <c r="M327" s="1"/>
      <c r="N327" s="1"/>
      <c r="O327" s="1"/>
      <c r="P327" s="1"/>
      <c r="Q327" s="1"/>
      <c r="R327" s="1"/>
      <c r="S327" s="1"/>
      <c r="T327" s="1"/>
      <c r="U327" s="1"/>
    </row>
    <row r="328" spans="1:21" ht="15.75" customHeight="1">
      <c r="A328" s="1"/>
      <c r="B328" s="1"/>
      <c r="C328" s="1"/>
      <c r="D328" s="1"/>
      <c r="E328" s="1"/>
      <c r="F328" s="1"/>
      <c r="G328" s="1"/>
      <c r="H328" s="1"/>
      <c r="I328" s="1"/>
      <c r="J328" s="1"/>
      <c r="K328" s="1"/>
      <c r="L328" s="1"/>
      <c r="M328" s="1"/>
      <c r="N328" s="1"/>
      <c r="O328" s="1"/>
      <c r="P328" s="1"/>
      <c r="Q328" s="1"/>
      <c r="R328" s="1"/>
      <c r="S328" s="1"/>
      <c r="T328" s="1"/>
      <c r="U328" s="1"/>
    </row>
    <row r="329" spans="1:21" ht="15.75" customHeight="1">
      <c r="A329" s="1"/>
      <c r="B329" s="1"/>
      <c r="C329" s="1"/>
      <c r="D329" s="1"/>
      <c r="E329" s="1"/>
      <c r="F329" s="1"/>
      <c r="G329" s="1"/>
      <c r="H329" s="1"/>
      <c r="I329" s="1"/>
      <c r="J329" s="1"/>
      <c r="K329" s="1"/>
      <c r="L329" s="1"/>
      <c r="M329" s="1"/>
      <c r="N329" s="1"/>
      <c r="O329" s="1"/>
      <c r="P329" s="1"/>
      <c r="Q329" s="1"/>
      <c r="R329" s="1"/>
      <c r="S329" s="1"/>
      <c r="T329" s="1"/>
      <c r="U329" s="1"/>
    </row>
    <row r="330" spans="1:21" ht="15.75" customHeight="1">
      <c r="A330" s="1"/>
      <c r="B330" s="1"/>
      <c r="C330" s="1"/>
      <c r="D330" s="1"/>
      <c r="E330" s="1"/>
      <c r="F330" s="1"/>
      <c r="G330" s="1"/>
      <c r="H330" s="1"/>
      <c r="I330" s="1"/>
      <c r="J330" s="1"/>
      <c r="K330" s="1"/>
      <c r="L330" s="1"/>
      <c r="M330" s="1"/>
      <c r="N330" s="1"/>
      <c r="O330" s="1"/>
      <c r="P330" s="1"/>
      <c r="Q330" s="1"/>
      <c r="R330" s="1"/>
      <c r="S330" s="1"/>
      <c r="T330" s="1"/>
      <c r="U330" s="1"/>
    </row>
    <row r="331" spans="1:21" ht="15.75" customHeight="1">
      <c r="A331" s="1"/>
      <c r="B331" s="1"/>
      <c r="C331" s="1"/>
      <c r="D331" s="1"/>
      <c r="E331" s="1"/>
      <c r="F331" s="1"/>
      <c r="G331" s="1"/>
      <c r="H331" s="1"/>
      <c r="I331" s="1"/>
      <c r="J331" s="1"/>
      <c r="K331" s="1"/>
      <c r="L331" s="1"/>
      <c r="M331" s="1"/>
      <c r="N331" s="1"/>
      <c r="O331" s="1"/>
      <c r="P331" s="1"/>
      <c r="Q331" s="1"/>
      <c r="R331" s="1"/>
      <c r="S331" s="1"/>
      <c r="T331" s="1"/>
      <c r="U331" s="1"/>
    </row>
    <row r="332" spans="1:21" ht="15.75" customHeight="1">
      <c r="A332" s="1"/>
      <c r="B332" s="1"/>
      <c r="C332" s="1"/>
      <c r="D332" s="1"/>
      <c r="E332" s="1"/>
      <c r="F332" s="1"/>
      <c r="G332" s="1"/>
      <c r="H332" s="1"/>
      <c r="I332" s="1"/>
      <c r="J332" s="1"/>
      <c r="K332" s="1"/>
      <c r="L332" s="1"/>
      <c r="M332" s="1"/>
      <c r="N332" s="1"/>
      <c r="O332" s="1"/>
      <c r="P332" s="1"/>
      <c r="Q332" s="1"/>
      <c r="R332" s="1"/>
      <c r="S332" s="1"/>
      <c r="T332" s="1"/>
      <c r="U332" s="1"/>
    </row>
    <row r="333" spans="1:21" ht="15.75" customHeight="1">
      <c r="A333" s="1"/>
      <c r="B333" s="1"/>
      <c r="C333" s="1"/>
      <c r="D333" s="1"/>
      <c r="E333" s="1"/>
      <c r="F333" s="1"/>
      <c r="G333" s="1"/>
      <c r="H333" s="1"/>
      <c r="I333" s="1"/>
      <c r="J333" s="1"/>
      <c r="K333" s="1"/>
      <c r="L333" s="1"/>
      <c r="M333" s="1"/>
      <c r="N333" s="1"/>
      <c r="O333" s="1"/>
      <c r="P333" s="1"/>
      <c r="Q333" s="1"/>
      <c r="R333" s="1"/>
      <c r="S333" s="1"/>
      <c r="T333" s="1"/>
      <c r="U333" s="1"/>
    </row>
    <row r="334" spans="1:21" ht="15.75" customHeight="1">
      <c r="A334" s="1"/>
      <c r="B334" s="1"/>
      <c r="C334" s="1"/>
      <c r="D334" s="1"/>
      <c r="E334" s="1"/>
      <c r="F334" s="1"/>
      <c r="G334" s="1"/>
      <c r="H334" s="1"/>
      <c r="I334" s="1"/>
      <c r="J334" s="1"/>
      <c r="K334" s="1"/>
      <c r="L334" s="1"/>
      <c r="M334" s="1"/>
      <c r="N334" s="1"/>
      <c r="O334" s="1"/>
      <c r="P334" s="1"/>
      <c r="Q334" s="1"/>
      <c r="R334" s="1"/>
      <c r="S334" s="1"/>
      <c r="T334" s="1"/>
      <c r="U334" s="1"/>
    </row>
    <row r="335" spans="1:21" ht="15.75" customHeight="1">
      <c r="A335" s="1"/>
      <c r="B335" s="1"/>
      <c r="C335" s="1"/>
      <c r="D335" s="1"/>
      <c r="E335" s="1"/>
      <c r="F335" s="1"/>
      <c r="G335" s="1"/>
      <c r="H335" s="1"/>
      <c r="I335" s="1"/>
      <c r="J335" s="1"/>
      <c r="K335" s="1"/>
      <c r="L335" s="1"/>
      <c r="M335" s="1"/>
      <c r="N335" s="1"/>
      <c r="O335" s="1"/>
      <c r="P335" s="1"/>
      <c r="Q335" s="1"/>
      <c r="R335" s="1"/>
      <c r="S335" s="1"/>
      <c r="T335" s="1"/>
      <c r="U335" s="1"/>
    </row>
    <row r="336" spans="1:21" ht="15.75" customHeight="1">
      <c r="A336" s="1"/>
      <c r="B336" s="1"/>
      <c r="C336" s="1"/>
      <c r="D336" s="1"/>
      <c r="E336" s="1"/>
      <c r="F336" s="1"/>
      <c r="G336" s="1"/>
      <c r="H336" s="1"/>
      <c r="I336" s="1"/>
      <c r="J336" s="1"/>
      <c r="K336" s="1"/>
      <c r="L336" s="1"/>
      <c r="M336" s="1"/>
      <c r="N336" s="1"/>
      <c r="O336" s="1"/>
      <c r="P336" s="1"/>
      <c r="Q336" s="1"/>
      <c r="R336" s="1"/>
      <c r="S336" s="1"/>
      <c r="T336" s="1"/>
      <c r="U336" s="1"/>
    </row>
    <row r="337" spans="1:21" ht="15.75" customHeight="1">
      <c r="A337" s="1"/>
      <c r="B337" s="1"/>
      <c r="C337" s="1"/>
      <c r="D337" s="1"/>
      <c r="E337" s="1"/>
      <c r="F337" s="1"/>
      <c r="G337" s="1"/>
      <c r="H337" s="1"/>
      <c r="I337" s="1"/>
      <c r="J337" s="1"/>
      <c r="K337" s="1"/>
      <c r="L337" s="1"/>
      <c r="M337" s="1"/>
      <c r="N337" s="1"/>
      <c r="O337" s="1"/>
      <c r="P337" s="1"/>
      <c r="Q337" s="1"/>
      <c r="R337" s="1"/>
      <c r="S337" s="1"/>
      <c r="T337" s="1"/>
      <c r="U337" s="1"/>
    </row>
    <row r="338" spans="1:21" ht="15.75" customHeight="1">
      <c r="A338" s="1"/>
      <c r="B338" s="1"/>
      <c r="C338" s="1"/>
      <c r="D338" s="1"/>
      <c r="E338" s="1"/>
      <c r="F338" s="1"/>
      <c r="G338" s="1"/>
      <c r="H338" s="1"/>
      <c r="I338" s="1"/>
      <c r="J338" s="1"/>
      <c r="K338" s="1"/>
      <c r="L338" s="1"/>
      <c r="M338" s="1"/>
      <c r="N338" s="1"/>
      <c r="O338" s="1"/>
      <c r="P338" s="1"/>
      <c r="Q338" s="1"/>
      <c r="R338" s="1"/>
      <c r="S338" s="1"/>
      <c r="T338" s="1"/>
      <c r="U338" s="1"/>
    </row>
    <row r="339" spans="1:21" ht="15.75" customHeight="1">
      <c r="A339" s="1"/>
      <c r="B339" s="1"/>
      <c r="C339" s="1"/>
      <c r="D339" s="1"/>
      <c r="E339" s="1"/>
      <c r="F339" s="1"/>
      <c r="G339" s="1"/>
      <c r="H339" s="1"/>
      <c r="I339" s="1"/>
      <c r="J339" s="1"/>
      <c r="K339" s="1"/>
      <c r="L339" s="1"/>
      <c r="M339" s="1"/>
      <c r="N339" s="1"/>
      <c r="O339" s="1"/>
      <c r="P339" s="1"/>
      <c r="Q339" s="1"/>
      <c r="R339" s="1"/>
      <c r="S339" s="1"/>
      <c r="T339" s="1"/>
      <c r="U339" s="1"/>
    </row>
    <row r="340" spans="1:21" ht="15.75" customHeight="1">
      <c r="A340" s="1"/>
      <c r="B340" s="1"/>
      <c r="C340" s="1"/>
      <c r="D340" s="1"/>
      <c r="E340" s="1"/>
      <c r="F340" s="1"/>
      <c r="G340" s="1"/>
      <c r="H340" s="1"/>
      <c r="I340" s="1"/>
      <c r="J340" s="1"/>
      <c r="K340" s="1"/>
      <c r="L340" s="1"/>
      <c r="M340" s="1"/>
      <c r="N340" s="1"/>
      <c r="O340" s="1"/>
      <c r="P340" s="1"/>
      <c r="Q340" s="1"/>
      <c r="R340" s="1"/>
      <c r="S340" s="1"/>
      <c r="T340" s="1"/>
      <c r="U340" s="1"/>
    </row>
    <row r="341" spans="1:21" ht="15.75" customHeight="1">
      <c r="A341" s="1"/>
      <c r="B341" s="1"/>
      <c r="C341" s="1"/>
      <c r="D341" s="1"/>
      <c r="E341" s="1"/>
      <c r="F341" s="1"/>
      <c r="G341" s="1"/>
      <c r="H341" s="1"/>
      <c r="I341" s="1"/>
      <c r="J341" s="1"/>
      <c r="K341" s="1"/>
      <c r="L341" s="1"/>
      <c r="M341" s="1"/>
      <c r="N341" s="1"/>
      <c r="O341" s="1"/>
      <c r="P341" s="1"/>
      <c r="Q341" s="1"/>
      <c r="R341" s="1"/>
      <c r="S341" s="1"/>
      <c r="T341" s="1"/>
      <c r="U341" s="1"/>
    </row>
    <row r="342" spans="1:21" ht="15.75" customHeight="1">
      <c r="A342" s="1"/>
      <c r="B342" s="1"/>
      <c r="C342" s="1"/>
      <c r="D342" s="1"/>
      <c r="E342" s="1"/>
      <c r="F342" s="1"/>
      <c r="G342" s="1"/>
      <c r="H342" s="1"/>
      <c r="I342" s="1"/>
      <c r="J342" s="1"/>
      <c r="K342" s="1"/>
      <c r="L342" s="1"/>
      <c r="M342" s="1"/>
      <c r="N342" s="1"/>
      <c r="O342" s="1"/>
      <c r="P342" s="1"/>
      <c r="Q342" s="1"/>
      <c r="R342" s="1"/>
      <c r="S342" s="1"/>
      <c r="T342" s="1"/>
      <c r="U342" s="1"/>
    </row>
    <row r="343" spans="1:21" ht="15.75" customHeight="1">
      <c r="A343" s="1"/>
      <c r="B343" s="1"/>
      <c r="C343" s="1"/>
      <c r="D343" s="1"/>
      <c r="E343" s="1"/>
      <c r="F343" s="1"/>
      <c r="G343" s="1"/>
      <c r="H343" s="1"/>
      <c r="I343" s="1"/>
      <c r="J343" s="1"/>
      <c r="K343" s="1"/>
      <c r="L343" s="1"/>
      <c r="M343" s="1"/>
      <c r="N343" s="1"/>
      <c r="O343" s="1"/>
      <c r="P343" s="1"/>
      <c r="Q343" s="1"/>
      <c r="R343" s="1"/>
      <c r="S343" s="1"/>
      <c r="T343" s="1"/>
      <c r="U343" s="1"/>
    </row>
    <row r="344" spans="1:21" ht="15.75" customHeight="1">
      <c r="A344" s="1"/>
      <c r="B344" s="1"/>
      <c r="C344" s="1"/>
      <c r="D344" s="1"/>
      <c r="E344" s="1"/>
      <c r="F344" s="1"/>
      <c r="G344" s="1"/>
      <c r="H344" s="1"/>
      <c r="I344" s="1"/>
      <c r="J344" s="1"/>
      <c r="K344" s="1"/>
      <c r="L344" s="1"/>
      <c r="M344" s="1"/>
      <c r="N344" s="1"/>
      <c r="O344" s="1"/>
      <c r="P344" s="1"/>
      <c r="Q344" s="1"/>
      <c r="R344" s="1"/>
      <c r="S344" s="1"/>
      <c r="T344" s="1"/>
      <c r="U344" s="1"/>
    </row>
    <row r="345" spans="1:21" ht="15.75" customHeight="1">
      <c r="A345" s="1"/>
      <c r="B345" s="1"/>
      <c r="C345" s="1"/>
      <c r="D345" s="1"/>
      <c r="E345" s="1"/>
      <c r="F345" s="1"/>
      <c r="G345" s="1"/>
      <c r="H345" s="1"/>
      <c r="I345" s="1"/>
      <c r="J345" s="1"/>
      <c r="K345" s="1"/>
      <c r="L345" s="1"/>
      <c r="M345" s="1"/>
      <c r="N345" s="1"/>
      <c r="O345" s="1"/>
      <c r="P345" s="1"/>
      <c r="Q345" s="1"/>
      <c r="R345" s="1"/>
      <c r="S345" s="1"/>
      <c r="T345" s="1"/>
      <c r="U345" s="1"/>
    </row>
    <row r="346" spans="1:21" ht="15.75" customHeight="1">
      <c r="A346" s="1"/>
      <c r="B346" s="1"/>
      <c r="C346" s="1"/>
      <c r="D346" s="1"/>
      <c r="E346" s="1"/>
      <c r="F346" s="1"/>
      <c r="G346" s="1"/>
      <c r="H346" s="1"/>
      <c r="I346" s="1"/>
      <c r="J346" s="1"/>
      <c r="K346" s="1"/>
      <c r="L346" s="1"/>
      <c r="M346" s="1"/>
      <c r="N346" s="1"/>
      <c r="O346" s="1"/>
      <c r="P346" s="1"/>
      <c r="Q346" s="1"/>
      <c r="R346" s="1"/>
      <c r="S346" s="1"/>
      <c r="T346" s="1"/>
      <c r="U346" s="1"/>
    </row>
    <row r="347" spans="1:21" ht="15.75" customHeight="1">
      <c r="A347" s="1"/>
      <c r="B347" s="1"/>
      <c r="C347" s="1"/>
      <c r="D347" s="1"/>
      <c r="E347" s="1"/>
      <c r="F347" s="1"/>
      <c r="G347" s="1"/>
      <c r="H347" s="1"/>
      <c r="I347" s="1"/>
      <c r="J347" s="1"/>
      <c r="K347" s="1"/>
      <c r="L347" s="1"/>
      <c r="M347" s="1"/>
      <c r="N347" s="1"/>
      <c r="O347" s="1"/>
      <c r="P347" s="1"/>
      <c r="Q347" s="1"/>
      <c r="R347" s="1"/>
      <c r="S347" s="1"/>
      <c r="T347" s="1"/>
      <c r="U347" s="1"/>
    </row>
    <row r="348" spans="1:21" ht="15.75" customHeight="1">
      <c r="A348" s="1"/>
      <c r="B348" s="1"/>
      <c r="C348" s="1"/>
      <c r="D348" s="1"/>
      <c r="E348" s="1"/>
      <c r="F348" s="1"/>
      <c r="G348" s="1"/>
      <c r="H348" s="1"/>
      <c r="I348" s="1"/>
      <c r="J348" s="1"/>
      <c r="K348" s="1"/>
      <c r="L348" s="1"/>
      <c r="M348" s="1"/>
      <c r="N348" s="1"/>
      <c r="O348" s="1"/>
      <c r="P348" s="1"/>
      <c r="Q348" s="1"/>
      <c r="R348" s="1"/>
      <c r="S348" s="1"/>
      <c r="T348" s="1"/>
      <c r="U348" s="1"/>
    </row>
    <row r="349" spans="1:21" ht="15.75" customHeight="1">
      <c r="A349" s="1"/>
      <c r="B349" s="1"/>
      <c r="C349" s="1"/>
      <c r="D349" s="1"/>
      <c r="E349" s="1"/>
      <c r="F349" s="1"/>
      <c r="G349" s="1"/>
      <c r="H349" s="1"/>
      <c r="I349" s="1"/>
      <c r="J349" s="1"/>
      <c r="K349" s="1"/>
      <c r="L349" s="1"/>
      <c r="M349" s="1"/>
      <c r="N349" s="1"/>
      <c r="O349" s="1"/>
      <c r="P349" s="1"/>
      <c r="Q349" s="1"/>
      <c r="R349" s="1"/>
      <c r="S349" s="1"/>
      <c r="T349" s="1"/>
      <c r="U349" s="1"/>
    </row>
    <row r="350" spans="1:21" ht="15.75" customHeight="1">
      <c r="A350" s="1"/>
      <c r="B350" s="1"/>
      <c r="C350" s="1"/>
      <c r="D350" s="1"/>
      <c r="E350" s="1"/>
      <c r="F350" s="1"/>
      <c r="G350" s="1"/>
      <c r="H350" s="1"/>
      <c r="I350" s="1"/>
      <c r="J350" s="1"/>
      <c r="K350" s="1"/>
      <c r="L350" s="1"/>
      <c r="M350" s="1"/>
      <c r="N350" s="1"/>
      <c r="O350" s="1"/>
      <c r="P350" s="1"/>
      <c r="Q350" s="1"/>
      <c r="R350" s="1"/>
      <c r="S350" s="1"/>
      <c r="T350" s="1"/>
      <c r="U350" s="1"/>
    </row>
    <row r="351" spans="1:21" ht="15.75" customHeight="1">
      <c r="A351" s="1"/>
      <c r="B351" s="1"/>
      <c r="C351" s="1"/>
      <c r="D351" s="1"/>
      <c r="E351" s="1"/>
      <c r="F351" s="1"/>
      <c r="G351" s="1"/>
      <c r="H351" s="1"/>
      <c r="I351" s="1"/>
      <c r="J351" s="1"/>
      <c r="K351" s="1"/>
      <c r="L351" s="1"/>
      <c r="M351" s="1"/>
      <c r="N351" s="1"/>
      <c r="O351" s="1"/>
      <c r="P351" s="1"/>
      <c r="Q351" s="1"/>
      <c r="R351" s="1"/>
      <c r="S351" s="1"/>
      <c r="T351" s="1"/>
      <c r="U351" s="1"/>
    </row>
    <row r="352" spans="1:21" ht="15.75" customHeight="1">
      <c r="A352" s="1"/>
      <c r="B352" s="1"/>
      <c r="C352" s="1"/>
      <c r="D352" s="1"/>
      <c r="E352" s="1"/>
      <c r="F352" s="1"/>
      <c r="G352" s="1"/>
      <c r="H352" s="1"/>
      <c r="I352" s="1"/>
      <c r="J352" s="1"/>
      <c r="K352" s="1"/>
      <c r="L352" s="1"/>
      <c r="M352" s="1"/>
      <c r="N352" s="1"/>
      <c r="O352" s="1"/>
      <c r="P352" s="1"/>
      <c r="Q352" s="1"/>
      <c r="R352" s="1"/>
      <c r="S352" s="1"/>
      <c r="T352" s="1"/>
      <c r="U352" s="1"/>
    </row>
    <row r="353" spans="1:21" ht="15.75" customHeight="1">
      <c r="A353" s="1"/>
      <c r="B353" s="1"/>
      <c r="C353" s="1"/>
      <c r="D353" s="1"/>
      <c r="E353" s="1"/>
      <c r="F353" s="1"/>
      <c r="G353" s="1"/>
      <c r="H353" s="1"/>
      <c r="I353" s="1"/>
      <c r="J353" s="1"/>
      <c r="K353" s="1"/>
      <c r="L353" s="1"/>
      <c r="M353" s="1"/>
      <c r="N353" s="1"/>
      <c r="O353" s="1"/>
      <c r="P353" s="1"/>
      <c r="Q353" s="1"/>
      <c r="R353" s="1"/>
      <c r="S353" s="1"/>
      <c r="T353" s="1"/>
      <c r="U353" s="1"/>
    </row>
    <row r="354" spans="1:21" ht="15.75" customHeight="1">
      <c r="A354" s="1"/>
      <c r="B354" s="1"/>
      <c r="C354" s="1"/>
      <c r="D354" s="1"/>
      <c r="E354" s="1"/>
      <c r="F354" s="1"/>
      <c r="G354" s="1"/>
      <c r="H354" s="1"/>
      <c r="I354" s="1"/>
      <c r="J354" s="1"/>
      <c r="K354" s="1"/>
      <c r="L354" s="1"/>
      <c r="M354" s="1"/>
      <c r="N354" s="1"/>
      <c r="O354" s="1"/>
      <c r="P354" s="1"/>
      <c r="Q354" s="1"/>
      <c r="R354" s="1"/>
      <c r="S354" s="1"/>
      <c r="T354" s="1"/>
      <c r="U354" s="1"/>
    </row>
    <row r="355" spans="1:21" ht="15.75" customHeight="1">
      <c r="A355" s="1"/>
      <c r="B355" s="1"/>
      <c r="C355" s="1"/>
      <c r="D355" s="1"/>
      <c r="E355" s="1"/>
      <c r="F355" s="1"/>
      <c r="G355" s="1"/>
      <c r="H355" s="1"/>
      <c r="I355" s="1"/>
      <c r="J355" s="1"/>
      <c r="K355" s="1"/>
      <c r="L355" s="1"/>
      <c r="M355" s="1"/>
      <c r="N355" s="1"/>
      <c r="O355" s="1"/>
      <c r="P355" s="1"/>
      <c r="Q355" s="1"/>
      <c r="R355" s="1"/>
      <c r="S355" s="1"/>
      <c r="T355" s="1"/>
      <c r="U355" s="1"/>
    </row>
    <row r="356" spans="1:21" ht="15.75" customHeight="1">
      <c r="A356" s="1"/>
      <c r="B356" s="1"/>
      <c r="C356" s="1"/>
      <c r="D356" s="1"/>
      <c r="E356" s="1"/>
      <c r="F356" s="1"/>
      <c r="G356" s="1"/>
      <c r="H356" s="1"/>
      <c r="I356" s="1"/>
      <c r="J356" s="1"/>
      <c r="K356" s="1"/>
      <c r="L356" s="1"/>
      <c r="M356" s="1"/>
      <c r="N356" s="1"/>
      <c r="O356" s="1"/>
      <c r="P356" s="1"/>
      <c r="Q356" s="1"/>
      <c r="R356" s="1"/>
      <c r="S356" s="1"/>
      <c r="T356" s="1"/>
      <c r="U356" s="1"/>
    </row>
    <row r="357" spans="1:21" ht="15.75" customHeight="1">
      <c r="A357" s="1"/>
      <c r="B357" s="1"/>
      <c r="C357" s="1"/>
      <c r="D357" s="1"/>
      <c r="E357" s="1"/>
      <c r="F357" s="1"/>
      <c r="G357" s="1"/>
      <c r="H357" s="1"/>
      <c r="I357" s="1"/>
      <c r="J357" s="1"/>
      <c r="K357" s="1"/>
      <c r="L357" s="1"/>
      <c r="M357" s="1"/>
      <c r="N357" s="1"/>
      <c r="O357" s="1"/>
      <c r="P357" s="1"/>
      <c r="Q357" s="1"/>
      <c r="R357" s="1"/>
      <c r="S357" s="1"/>
      <c r="T357" s="1"/>
      <c r="U357" s="1"/>
    </row>
    <row r="358" spans="1:21" ht="15.75" customHeight="1">
      <c r="A358" s="1"/>
      <c r="B358" s="1"/>
      <c r="C358" s="1"/>
      <c r="D358" s="1"/>
      <c r="E358" s="1"/>
      <c r="F358" s="1"/>
      <c r="G358" s="1"/>
      <c r="H358" s="1"/>
      <c r="I358" s="1"/>
      <c r="J358" s="1"/>
      <c r="K358" s="1"/>
      <c r="L358" s="1"/>
      <c r="M358" s="1"/>
      <c r="N358" s="1"/>
      <c r="O358" s="1"/>
      <c r="P358" s="1"/>
      <c r="Q358" s="1"/>
      <c r="R358" s="1"/>
      <c r="S358" s="1"/>
      <c r="T358" s="1"/>
      <c r="U358" s="1"/>
    </row>
    <row r="359" spans="1:21" ht="15.75" customHeight="1">
      <c r="A359" s="1"/>
      <c r="B359" s="1"/>
      <c r="C359" s="1"/>
      <c r="D359" s="1"/>
      <c r="E359" s="1"/>
      <c r="F359" s="1"/>
      <c r="G359" s="1"/>
      <c r="H359" s="1"/>
      <c r="I359" s="1"/>
      <c r="J359" s="1"/>
      <c r="K359" s="1"/>
      <c r="L359" s="1"/>
      <c r="M359" s="1"/>
      <c r="N359" s="1"/>
      <c r="O359" s="1"/>
      <c r="P359" s="1"/>
      <c r="Q359" s="1"/>
      <c r="R359" s="1"/>
      <c r="S359" s="1"/>
      <c r="T359" s="1"/>
      <c r="U359" s="1"/>
    </row>
    <row r="360" spans="1:21" ht="15.75" customHeight="1">
      <c r="A360" s="1"/>
      <c r="B360" s="1"/>
      <c r="C360" s="1"/>
      <c r="D360" s="1"/>
      <c r="E360" s="1"/>
      <c r="F360" s="1"/>
      <c r="G360" s="1"/>
      <c r="H360" s="1"/>
      <c r="I360" s="1"/>
      <c r="J360" s="1"/>
      <c r="K360" s="1"/>
      <c r="L360" s="1"/>
      <c r="M360" s="1"/>
      <c r="N360" s="1"/>
      <c r="O360" s="1"/>
      <c r="P360" s="1"/>
      <c r="Q360" s="1"/>
      <c r="R360" s="1"/>
      <c r="S360" s="1"/>
      <c r="T360" s="1"/>
      <c r="U360" s="1"/>
    </row>
    <row r="361" spans="1:21" ht="15.75" customHeight="1">
      <c r="A361" s="1"/>
      <c r="B361" s="1"/>
      <c r="C361" s="1"/>
      <c r="D361" s="1"/>
      <c r="E361" s="1"/>
      <c r="F361" s="1"/>
      <c r="G361" s="1"/>
      <c r="H361" s="1"/>
      <c r="I361" s="1"/>
      <c r="J361" s="1"/>
      <c r="K361" s="1"/>
      <c r="L361" s="1"/>
      <c r="M361" s="1"/>
      <c r="N361" s="1"/>
      <c r="O361" s="1"/>
      <c r="P361" s="1"/>
      <c r="Q361" s="1"/>
      <c r="R361" s="1"/>
      <c r="S361" s="1"/>
      <c r="T361" s="1"/>
      <c r="U361" s="1"/>
    </row>
    <row r="362" spans="1:21" ht="15.75" customHeight="1">
      <c r="A362" s="1"/>
      <c r="B362" s="1"/>
      <c r="C362" s="1"/>
      <c r="D362" s="1"/>
      <c r="E362" s="1"/>
      <c r="F362" s="1"/>
      <c r="G362" s="1"/>
      <c r="H362" s="1"/>
      <c r="I362" s="1"/>
      <c r="J362" s="1"/>
      <c r="K362" s="1"/>
      <c r="L362" s="1"/>
      <c r="M362" s="1"/>
      <c r="N362" s="1"/>
      <c r="O362" s="1"/>
      <c r="P362" s="1"/>
      <c r="Q362" s="1"/>
      <c r="R362" s="1"/>
      <c r="S362" s="1"/>
      <c r="T362" s="1"/>
      <c r="U362" s="1"/>
    </row>
    <row r="363" spans="1:21" ht="15.75" customHeight="1">
      <c r="A363" s="1"/>
      <c r="B363" s="1"/>
      <c r="C363" s="1"/>
      <c r="D363" s="1"/>
      <c r="E363" s="1"/>
      <c r="F363" s="1"/>
      <c r="G363" s="1"/>
      <c r="H363" s="1"/>
      <c r="I363" s="1"/>
      <c r="J363" s="1"/>
      <c r="K363" s="1"/>
      <c r="L363" s="1"/>
      <c r="M363" s="1"/>
      <c r="N363" s="1"/>
      <c r="O363" s="1"/>
      <c r="P363" s="1"/>
      <c r="Q363" s="1"/>
      <c r="R363" s="1"/>
      <c r="S363" s="1"/>
      <c r="T363" s="1"/>
      <c r="U363" s="1"/>
    </row>
    <row r="364" spans="1:21" ht="15.75" customHeight="1">
      <c r="A364" s="1"/>
      <c r="B364" s="1"/>
      <c r="C364" s="1"/>
      <c r="D364" s="1"/>
      <c r="E364" s="1"/>
      <c r="F364" s="1"/>
      <c r="G364" s="1"/>
      <c r="H364" s="1"/>
      <c r="I364" s="1"/>
      <c r="J364" s="1"/>
      <c r="K364" s="1"/>
      <c r="L364" s="1"/>
      <c r="M364" s="1"/>
      <c r="N364" s="1"/>
      <c r="O364" s="1"/>
      <c r="P364" s="1"/>
      <c r="Q364" s="1"/>
      <c r="R364" s="1"/>
      <c r="S364" s="1"/>
      <c r="T364" s="1"/>
      <c r="U364" s="1"/>
    </row>
    <row r="365" spans="1:21" ht="15.75" customHeight="1">
      <c r="A365" s="1"/>
      <c r="B365" s="1"/>
      <c r="C365" s="1"/>
      <c r="D365" s="1"/>
      <c r="E365" s="1"/>
      <c r="F365" s="1"/>
      <c r="G365" s="1"/>
      <c r="H365" s="1"/>
      <c r="I365" s="1"/>
      <c r="J365" s="1"/>
      <c r="K365" s="1"/>
      <c r="L365" s="1"/>
      <c r="M365" s="1"/>
      <c r="N365" s="1"/>
      <c r="O365" s="1"/>
      <c r="P365" s="1"/>
      <c r="Q365" s="1"/>
      <c r="R365" s="1"/>
      <c r="S365" s="1"/>
      <c r="T365" s="1"/>
      <c r="U365" s="1"/>
    </row>
    <row r="366" spans="1:21" ht="15.75" customHeight="1">
      <c r="A366" s="1"/>
      <c r="B366" s="1"/>
      <c r="C366" s="1"/>
      <c r="D366" s="1"/>
      <c r="E366" s="1"/>
      <c r="F366" s="1"/>
      <c r="G366" s="1"/>
      <c r="H366" s="1"/>
      <c r="I366" s="1"/>
      <c r="J366" s="1"/>
      <c r="K366" s="1"/>
      <c r="L366" s="1"/>
      <c r="M366" s="1"/>
      <c r="N366" s="1"/>
      <c r="O366" s="1"/>
      <c r="P366" s="1"/>
      <c r="Q366" s="1"/>
      <c r="R366" s="1"/>
      <c r="S366" s="1"/>
      <c r="T366" s="1"/>
      <c r="U366" s="1"/>
    </row>
    <row r="367" spans="1:21" ht="15.75" customHeight="1">
      <c r="A367" s="1"/>
      <c r="B367" s="1"/>
      <c r="C367" s="1"/>
      <c r="D367" s="1"/>
      <c r="E367" s="1"/>
      <c r="F367" s="1"/>
      <c r="G367" s="1"/>
      <c r="H367" s="1"/>
      <c r="I367" s="1"/>
      <c r="J367" s="1"/>
      <c r="K367" s="1"/>
      <c r="L367" s="1"/>
      <c r="M367" s="1"/>
      <c r="N367" s="1"/>
      <c r="O367" s="1"/>
      <c r="P367" s="1"/>
      <c r="Q367" s="1"/>
      <c r="R367" s="1"/>
      <c r="S367" s="1"/>
      <c r="T367" s="1"/>
      <c r="U367" s="1"/>
    </row>
    <row r="368" spans="1:21" ht="15.75" customHeight="1">
      <c r="A368" s="1"/>
      <c r="B368" s="1"/>
      <c r="C368" s="1"/>
      <c r="D368" s="1"/>
      <c r="E368" s="1"/>
      <c r="F368" s="1"/>
      <c r="G368" s="1"/>
      <c r="H368" s="1"/>
      <c r="I368" s="1"/>
      <c r="J368" s="1"/>
      <c r="K368" s="1"/>
      <c r="L368" s="1"/>
      <c r="M368" s="1"/>
      <c r="N368" s="1"/>
      <c r="O368" s="1"/>
      <c r="P368" s="1"/>
      <c r="Q368" s="1"/>
      <c r="R368" s="1"/>
      <c r="S368" s="1"/>
      <c r="T368" s="1"/>
      <c r="U368" s="1"/>
    </row>
    <row r="369" spans="1:21" ht="15.75" customHeight="1">
      <c r="A369" s="1"/>
      <c r="B369" s="1"/>
      <c r="C369" s="1"/>
      <c r="D369" s="1"/>
      <c r="E369" s="1"/>
      <c r="F369" s="1"/>
      <c r="G369" s="1"/>
      <c r="H369" s="1"/>
      <c r="I369" s="1"/>
      <c r="J369" s="1"/>
      <c r="K369" s="1"/>
      <c r="L369" s="1"/>
      <c r="M369" s="1"/>
      <c r="N369" s="1"/>
      <c r="O369" s="1"/>
      <c r="P369" s="1"/>
      <c r="Q369" s="1"/>
      <c r="R369" s="1"/>
      <c r="S369" s="1"/>
      <c r="T369" s="1"/>
      <c r="U369" s="1"/>
    </row>
    <row r="370" spans="1:21" ht="15.75" customHeight="1">
      <c r="A370" s="1"/>
      <c r="B370" s="1"/>
      <c r="C370" s="1"/>
      <c r="D370" s="1"/>
      <c r="E370" s="1"/>
      <c r="F370" s="1"/>
      <c r="G370" s="1"/>
      <c r="H370" s="1"/>
      <c r="I370" s="1"/>
      <c r="J370" s="1"/>
      <c r="K370" s="1"/>
      <c r="L370" s="1"/>
      <c r="M370" s="1"/>
      <c r="N370" s="1"/>
      <c r="O370" s="1"/>
      <c r="P370" s="1"/>
      <c r="Q370" s="1"/>
      <c r="R370" s="1"/>
      <c r="S370" s="1"/>
      <c r="T370" s="1"/>
      <c r="U370" s="1"/>
    </row>
    <row r="371" spans="1:21" ht="15.75" customHeight="1">
      <c r="A371" s="1"/>
      <c r="B371" s="1"/>
      <c r="C371" s="1"/>
      <c r="D371" s="1"/>
      <c r="E371" s="1"/>
      <c r="F371" s="1"/>
      <c r="G371" s="1"/>
      <c r="H371" s="1"/>
      <c r="I371" s="1"/>
      <c r="J371" s="1"/>
      <c r="K371" s="1"/>
      <c r="L371" s="1"/>
      <c r="M371" s="1"/>
      <c r="N371" s="1"/>
      <c r="O371" s="1"/>
      <c r="P371" s="1"/>
      <c r="Q371" s="1"/>
      <c r="R371" s="1"/>
      <c r="S371" s="1"/>
      <c r="T371" s="1"/>
      <c r="U371" s="1"/>
    </row>
    <row r="372" spans="1:21" ht="15.75" customHeight="1">
      <c r="A372" s="1"/>
      <c r="B372" s="1"/>
      <c r="C372" s="1"/>
      <c r="D372" s="1"/>
      <c r="E372" s="1"/>
      <c r="F372" s="1"/>
      <c r="G372" s="1"/>
      <c r="H372" s="1"/>
      <c r="I372" s="1"/>
      <c r="J372" s="1"/>
      <c r="K372" s="1"/>
      <c r="L372" s="1"/>
      <c r="M372" s="1"/>
      <c r="N372" s="1"/>
      <c r="O372" s="1"/>
      <c r="P372" s="1"/>
      <c r="Q372" s="1"/>
      <c r="R372" s="1"/>
      <c r="S372" s="1"/>
      <c r="T372" s="1"/>
      <c r="U372" s="1"/>
    </row>
    <row r="373" spans="1:21" ht="15.75" customHeight="1">
      <c r="A373" s="1"/>
      <c r="B373" s="1"/>
      <c r="C373" s="1"/>
      <c r="D373" s="1"/>
      <c r="E373" s="1"/>
      <c r="F373" s="1"/>
      <c r="G373" s="1"/>
      <c r="H373" s="1"/>
      <c r="I373" s="1"/>
      <c r="J373" s="1"/>
      <c r="K373" s="1"/>
      <c r="L373" s="1"/>
      <c r="M373" s="1"/>
      <c r="N373" s="1"/>
      <c r="O373" s="1"/>
      <c r="P373" s="1"/>
      <c r="Q373" s="1"/>
      <c r="R373" s="1"/>
      <c r="S373" s="1"/>
      <c r="T373" s="1"/>
      <c r="U373" s="1"/>
    </row>
    <row r="374" spans="1:21" ht="15.75" customHeight="1">
      <c r="A374" s="1"/>
      <c r="B374" s="1"/>
      <c r="C374" s="1"/>
      <c r="D374" s="1"/>
      <c r="E374" s="1"/>
      <c r="F374" s="1"/>
      <c r="G374" s="1"/>
      <c r="H374" s="1"/>
      <c r="I374" s="1"/>
      <c r="J374" s="1"/>
      <c r="K374" s="1"/>
      <c r="L374" s="1"/>
      <c r="M374" s="1"/>
      <c r="N374" s="1"/>
      <c r="O374" s="1"/>
      <c r="P374" s="1"/>
      <c r="Q374" s="1"/>
      <c r="R374" s="1"/>
      <c r="S374" s="1"/>
      <c r="T374" s="1"/>
      <c r="U374" s="1"/>
    </row>
    <row r="375" spans="1:21" ht="15.75" customHeight="1">
      <c r="A375" s="1"/>
      <c r="B375" s="1"/>
      <c r="C375" s="1"/>
      <c r="D375" s="1"/>
      <c r="E375" s="1"/>
      <c r="F375" s="1"/>
      <c r="G375" s="1"/>
      <c r="H375" s="1"/>
      <c r="I375" s="1"/>
      <c r="J375" s="1"/>
      <c r="K375" s="1"/>
      <c r="L375" s="1"/>
      <c r="M375" s="1"/>
      <c r="N375" s="1"/>
      <c r="O375" s="1"/>
      <c r="P375" s="1"/>
      <c r="Q375" s="1"/>
      <c r="R375" s="1"/>
      <c r="S375" s="1"/>
      <c r="T375" s="1"/>
      <c r="U375" s="1"/>
    </row>
    <row r="376" spans="1:21" ht="15.75" customHeight="1">
      <c r="A376" s="1"/>
      <c r="B376" s="1"/>
      <c r="C376" s="1"/>
      <c r="D376" s="1"/>
      <c r="E376" s="1"/>
      <c r="F376" s="1"/>
      <c r="G376" s="1"/>
      <c r="H376" s="1"/>
      <c r="I376" s="1"/>
      <c r="J376" s="1"/>
      <c r="K376" s="1"/>
      <c r="L376" s="1"/>
      <c r="M376" s="1"/>
      <c r="N376" s="1"/>
      <c r="O376" s="1"/>
      <c r="P376" s="1"/>
      <c r="Q376" s="1"/>
      <c r="R376" s="1"/>
      <c r="S376" s="1"/>
      <c r="T376" s="1"/>
      <c r="U376" s="1"/>
    </row>
    <row r="377" spans="1:21" ht="15.75" customHeight="1">
      <c r="A377" s="1"/>
      <c r="B377" s="1"/>
      <c r="C377" s="1"/>
      <c r="D377" s="1"/>
      <c r="E377" s="1"/>
      <c r="F377" s="1"/>
      <c r="G377" s="1"/>
      <c r="H377" s="1"/>
      <c r="I377" s="1"/>
      <c r="J377" s="1"/>
      <c r="K377" s="1"/>
      <c r="L377" s="1"/>
      <c r="M377" s="1"/>
      <c r="N377" s="1"/>
      <c r="O377" s="1"/>
      <c r="P377" s="1"/>
      <c r="Q377" s="1"/>
      <c r="R377" s="1"/>
      <c r="S377" s="1"/>
      <c r="T377" s="1"/>
      <c r="U377" s="1"/>
    </row>
    <row r="378" spans="1:21" ht="15.75" customHeight="1">
      <c r="A378" s="1"/>
      <c r="B378" s="1"/>
      <c r="C378" s="1"/>
      <c r="D378" s="1"/>
      <c r="E378" s="1"/>
      <c r="F378" s="1"/>
      <c r="G378" s="1"/>
      <c r="H378" s="1"/>
      <c r="I378" s="1"/>
      <c r="J378" s="1"/>
      <c r="K378" s="1"/>
      <c r="L378" s="1"/>
      <c r="M378" s="1"/>
      <c r="N378" s="1"/>
      <c r="O378" s="1"/>
      <c r="P378" s="1"/>
      <c r="Q378" s="1"/>
      <c r="R378" s="1"/>
      <c r="S378" s="1"/>
      <c r="T378" s="1"/>
      <c r="U378" s="1"/>
    </row>
    <row r="379" spans="1:21" ht="15.75" customHeight="1">
      <c r="A379" s="1"/>
      <c r="B379" s="1"/>
      <c r="C379" s="1"/>
      <c r="D379" s="1"/>
      <c r="E379" s="1"/>
      <c r="F379" s="1"/>
      <c r="G379" s="1"/>
      <c r="H379" s="1"/>
      <c r="I379" s="1"/>
      <c r="J379" s="1"/>
      <c r="K379" s="1"/>
      <c r="L379" s="1"/>
      <c r="M379" s="1"/>
      <c r="N379" s="1"/>
      <c r="O379" s="1"/>
      <c r="P379" s="1"/>
      <c r="Q379" s="1"/>
      <c r="R379" s="1"/>
      <c r="S379" s="1"/>
      <c r="T379" s="1"/>
      <c r="U379" s="1"/>
    </row>
    <row r="380" spans="1:21" ht="15.75" customHeight="1">
      <c r="A380" s="1"/>
      <c r="B380" s="1"/>
      <c r="C380" s="1"/>
      <c r="D380" s="1"/>
      <c r="E380" s="1"/>
      <c r="F380" s="1"/>
      <c r="G380" s="1"/>
      <c r="H380" s="1"/>
      <c r="I380" s="1"/>
      <c r="J380" s="1"/>
      <c r="K380" s="1"/>
      <c r="L380" s="1"/>
      <c r="M380" s="1"/>
      <c r="N380" s="1"/>
      <c r="O380" s="1"/>
      <c r="P380" s="1"/>
      <c r="Q380" s="1"/>
      <c r="R380" s="1"/>
      <c r="S380" s="1"/>
      <c r="T380" s="1"/>
      <c r="U380" s="1"/>
    </row>
    <row r="381" spans="1:21" ht="15.75" customHeight="1">
      <c r="A381" s="1"/>
      <c r="B381" s="1"/>
      <c r="C381" s="1"/>
      <c r="D381" s="1"/>
      <c r="E381" s="1"/>
      <c r="F381" s="1"/>
      <c r="G381" s="1"/>
      <c r="H381" s="1"/>
      <c r="I381" s="1"/>
      <c r="J381" s="1"/>
      <c r="K381" s="1"/>
      <c r="L381" s="1"/>
      <c r="M381" s="1"/>
      <c r="N381" s="1"/>
      <c r="O381" s="1"/>
      <c r="P381" s="1"/>
      <c r="Q381" s="1"/>
      <c r="R381" s="1"/>
      <c r="S381" s="1"/>
      <c r="T381" s="1"/>
      <c r="U381" s="1"/>
    </row>
    <row r="382" spans="1:21" ht="15.75" customHeight="1">
      <c r="A382" s="1"/>
      <c r="B382" s="1"/>
      <c r="C382" s="1"/>
      <c r="D382" s="1"/>
      <c r="E382" s="1"/>
      <c r="F382" s="1"/>
      <c r="G382" s="1"/>
      <c r="H382" s="1"/>
      <c r="I382" s="1"/>
      <c r="J382" s="1"/>
      <c r="K382" s="1"/>
      <c r="L382" s="1"/>
      <c r="M382" s="1"/>
      <c r="N382" s="1"/>
      <c r="O382" s="1"/>
      <c r="P382" s="1"/>
      <c r="Q382" s="1"/>
      <c r="R382" s="1"/>
      <c r="S382" s="1"/>
      <c r="T382" s="1"/>
      <c r="U382" s="1"/>
    </row>
    <row r="383" spans="1:21" ht="15.75" customHeight="1">
      <c r="A383" s="1"/>
      <c r="B383" s="1"/>
      <c r="C383" s="1"/>
      <c r="D383" s="1"/>
      <c r="E383" s="1"/>
      <c r="F383" s="1"/>
      <c r="G383" s="1"/>
      <c r="H383" s="1"/>
      <c r="I383" s="1"/>
      <c r="J383" s="1"/>
      <c r="K383" s="1"/>
      <c r="L383" s="1"/>
      <c r="M383" s="1"/>
      <c r="N383" s="1"/>
      <c r="O383" s="1"/>
      <c r="P383" s="1"/>
      <c r="Q383" s="1"/>
      <c r="R383" s="1"/>
      <c r="S383" s="1"/>
      <c r="T383" s="1"/>
      <c r="U383" s="1"/>
    </row>
    <row r="384" spans="1:21" ht="15.75" customHeight="1">
      <c r="A384" s="1"/>
      <c r="B384" s="1"/>
      <c r="C384" s="1"/>
      <c r="D384" s="1"/>
      <c r="E384" s="1"/>
      <c r="F384" s="1"/>
      <c r="G384" s="1"/>
      <c r="H384" s="1"/>
      <c r="I384" s="1"/>
      <c r="J384" s="1"/>
      <c r="K384" s="1"/>
      <c r="L384" s="1"/>
      <c r="M384" s="1"/>
      <c r="N384" s="1"/>
      <c r="O384" s="1"/>
      <c r="P384" s="1"/>
      <c r="Q384" s="1"/>
      <c r="R384" s="1"/>
      <c r="S384" s="1"/>
      <c r="T384" s="1"/>
      <c r="U384" s="1"/>
    </row>
    <row r="385" spans="1:21" ht="15.75" customHeight="1">
      <c r="A385" s="1"/>
      <c r="B385" s="1"/>
      <c r="C385" s="1"/>
      <c r="D385" s="1"/>
      <c r="E385" s="1"/>
      <c r="F385" s="1"/>
      <c r="G385" s="1"/>
      <c r="H385" s="1"/>
      <c r="I385" s="1"/>
      <c r="J385" s="1"/>
      <c r="K385" s="1"/>
      <c r="L385" s="1"/>
      <c r="M385" s="1"/>
      <c r="N385" s="1"/>
      <c r="O385" s="1"/>
      <c r="P385" s="1"/>
      <c r="Q385" s="1"/>
      <c r="R385" s="1"/>
      <c r="S385" s="1"/>
      <c r="T385" s="1"/>
      <c r="U385" s="1"/>
    </row>
    <row r="386" spans="1:21" ht="15.75" customHeight="1">
      <c r="A386" s="1"/>
      <c r="B386" s="1"/>
      <c r="C386" s="1"/>
      <c r="D386" s="1"/>
      <c r="E386" s="1"/>
      <c r="F386" s="1"/>
      <c r="G386" s="1"/>
      <c r="H386" s="1"/>
      <c r="I386" s="1"/>
      <c r="J386" s="1"/>
      <c r="K386" s="1"/>
      <c r="L386" s="1"/>
      <c r="M386" s="1"/>
      <c r="N386" s="1"/>
      <c r="O386" s="1"/>
      <c r="P386" s="1"/>
      <c r="Q386" s="1"/>
      <c r="R386" s="1"/>
      <c r="S386" s="1"/>
      <c r="T386" s="1"/>
      <c r="U386" s="1"/>
    </row>
    <row r="387" spans="1:21" ht="15.75" customHeight="1">
      <c r="A387" s="1"/>
      <c r="B387" s="1"/>
      <c r="C387" s="1"/>
      <c r="D387" s="1"/>
      <c r="E387" s="1"/>
      <c r="F387" s="1"/>
      <c r="G387" s="1"/>
      <c r="H387" s="1"/>
      <c r="I387" s="1"/>
      <c r="J387" s="1"/>
      <c r="K387" s="1"/>
      <c r="L387" s="1"/>
      <c r="M387" s="1"/>
      <c r="N387" s="1"/>
      <c r="O387" s="1"/>
      <c r="P387" s="1"/>
      <c r="Q387" s="1"/>
      <c r="R387" s="1"/>
      <c r="S387" s="1"/>
      <c r="T387" s="1"/>
      <c r="U387" s="1"/>
    </row>
    <row r="388" spans="1:21" ht="15.75" customHeight="1">
      <c r="A388" s="1"/>
      <c r="B388" s="1"/>
      <c r="C388" s="1"/>
      <c r="D388" s="1"/>
      <c r="E388" s="1"/>
      <c r="F388" s="1"/>
      <c r="G388" s="1"/>
      <c r="H388" s="1"/>
      <c r="I388" s="1"/>
      <c r="J388" s="1"/>
      <c r="K388" s="1"/>
      <c r="L388" s="1"/>
      <c r="M388" s="1"/>
      <c r="N388" s="1"/>
      <c r="O388" s="1"/>
      <c r="P388" s="1"/>
      <c r="Q388" s="1"/>
      <c r="R388" s="1"/>
      <c r="S388" s="1"/>
      <c r="T388" s="1"/>
      <c r="U388" s="1"/>
    </row>
    <row r="389" spans="1:21" ht="15.75" customHeight="1">
      <c r="A389" s="1"/>
      <c r="B389" s="1"/>
      <c r="C389" s="1"/>
      <c r="D389" s="1"/>
      <c r="E389" s="1"/>
      <c r="F389" s="1"/>
      <c r="G389" s="1"/>
      <c r="H389" s="1"/>
      <c r="I389" s="1"/>
      <c r="J389" s="1"/>
      <c r="K389" s="1"/>
      <c r="L389" s="1"/>
      <c r="M389" s="1"/>
      <c r="N389" s="1"/>
      <c r="O389" s="1"/>
      <c r="P389" s="1"/>
      <c r="Q389" s="1"/>
      <c r="R389" s="1"/>
      <c r="S389" s="1"/>
      <c r="T389" s="1"/>
      <c r="U389" s="1"/>
    </row>
    <row r="390" spans="1:21" ht="15.75" customHeight="1">
      <c r="A390" s="1"/>
      <c r="B390" s="1"/>
      <c r="C390" s="1"/>
      <c r="D390" s="1"/>
      <c r="E390" s="1"/>
      <c r="F390" s="1"/>
      <c r="G390" s="1"/>
      <c r="H390" s="1"/>
      <c r="I390" s="1"/>
      <c r="J390" s="1"/>
      <c r="K390" s="1"/>
      <c r="L390" s="1"/>
      <c r="M390" s="1"/>
      <c r="N390" s="1"/>
      <c r="O390" s="1"/>
      <c r="P390" s="1"/>
      <c r="Q390" s="1"/>
      <c r="R390" s="1"/>
      <c r="S390" s="1"/>
      <c r="T390" s="1"/>
      <c r="U390" s="1"/>
    </row>
    <row r="391" spans="1:21" ht="15.75" customHeight="1">
      <c r="A391" s="1"/>
      <c r="B391" s="1"/>
      <c r="C391" s="1"/>
      <c r="D391" s="1"/>
      <c r="E391" s="1"/>
      <c r="F391" s="1"/>
      <c r="G391" s="1"/>
      <c r="H391" s="1"/>
      <c r="I391" s="1"/>
      <c r="J391" s="1"/>
      <c r="K391" s="1"/>
      <c r="L391" s="1"/>
      <c r="M391" s="1"/>
      <c r="N391" s="1"/>
      <c r="O391" s="1"/>
      <c r="P391" s="1"/>
      <c r="Q391" s="1"/>
      <c r="R391" s="1"/>
      <c r="S391" s="1"/>
      <c r="T391" s="1"/>
      <c r="U391" s="1"/>
    </row>
    <row r="392" spans="1:21" ht="15.75" customHeight="1">
      <c r="A392" s="1"/>
      <c r="B392" s="1"/>
      <c r="C392" s="1"/>
      <c r="D392" s="1"/>
      <c r="E392" s="1"/>
      <c r="F392" s="1"/>
      <c r="G392" s="1"/>
      <c r="H392" s="1"/>
      <c r="I392" s="1"/>
      <c r="J392" s="1"/>
      <c r="K392" s="1"/>
      <c r="L392" s="1"/>
      <c r="M392" s="1"/>
      <c r="N392" s="1"/>
      <c r="O392" s="1"/>
      <c r="P392" s="1"/>
      <c r="Q392" s="1"/>
      <c r="R392" s="1"/>
      <c r="S392" s="1"/>
      <c r="T392" s="1"/>
      <c r="U392" s="1"/>
    </row>
    <row r="393" spans="1:21" ht="15.75" customHeight="1">
      <c r="A393" s="1"/>
      <c r="B393" s="1"/>
      <c r="C393" s="1"/>
      <c r="D393" s="1"/>
      <c r="E393" s="1"/>
      <c r="F393" s="1"/>
      <c r="G393" s="1"/>
      <c r="H393" s="1"/>
      <c r="I393" s="1"/>
      <c r="J393" s="1"/>
      <c r="K393" s="1"/>
      <c r="L393" s="1"/>
      <c r="M393" s="1"/>
      <c r="N393" s="1"/>
      <c r="O393" s="1"/>
      <c r="P393" s="1"/>
      <c r="Q393" s="1"/>
      <c r="R393" s="1"/>
      <c r="S393" s="1"/>
      <c r="T393" s="1"/>
      <c r="U393" s="1"/>
    </row>
    <row r="394" spans="1:21" ht="15.75" customHeight="1">
      <c r="A394" s="1"/>
      <c r="B394" s="1"/>
      <c r="C394" s="1"/>
      <c r="D394" s="1"/>
      <c r="E394" s="1"/>
      <c r="F394" s="1"/>
      <c r="G394" s="1"/>
      <c r="H394" s="1"/>
      <c r="I394" s="1"/>
      <c r="J394" s="1"/>
      <c r="K394" s="1"/>
      <c r="L394" s="1"/>
      <c r="M394" s="1"/>
      <c r="N394" s="1"/>
      <c r="O394" s="1"/>
      <c r="P394" s="1"/>
      <c r="Q394" s="1"/>
      <c r="R394" s="1"/>
      <c r="S394" s="1"/>
      <c r="T394" s="1"/>
      <c r="U394" s="1"/>
    </row>
    <row r="395" spans="1:21" ht="15.75" customHeight="1">
      <c r="A395" s="1"/>
      <c r="B395" s="1"/>
      <c r="C395" s="1"/>
      <c r="D395" s="1"/>
      <c r="E395" s="1"/>
      <c r="F395" s="1"/>
      <c r="G395" s="1"/>
      <c r="H395" s="1"/>
      <c r="I395" s="1"/>
      <c r="J395" s="1"/>
      <c r="K395" s="1"/>
      <c r="L395" s="1"/>
      <c r="M395" s="1"/>
      <c r="N395" s="1"/>
      <c r="O395" s="1"/>
      <c r="P395" s="1"/>
      <c r="Q395" s="1"/>
      <c r="R395" s="1"/>
      <c r="S395" s="1"/>
      <c r="T395" s="1"/>
      <c r="U395" s="1"/>
    </row>
    <row r="396" spans="1:21" ht="15.75" customHeight="1">
      <c r="A396" s="1"/>
      <c r="B396" s="1"/>
      <c r="C396" s="1"/>
      <c r="D396" s="1"/>
      <c r="E396" s="1"/>
      <c r="F396" s="1"/>
      <c r="G396" s="1"/>
      <c r="H396" s="1"/>
      <c r="I396" s="1"/>
      <c r="J396" s="1"/>
      <c r="K396" s="1"/>
      <c r="L396" s="1"/>
      <c r="M396" s="1"/>
      <c r="N396" s="1"/>
      <c r="O396" s="1"/>
      <c r="P396" s="1"/>
      <c r="Q396" s="1"/>
      <c r="R396" s="1"/>
      <c r="S396" s="1"/>
      <c r="T396" s="1"/>
      <c r="U396" s="1"/>
    </row>
    <row r="397" spans="1:21" ht="15.75" customHeight="1">
      <c r="A397" s="1"/>
      <c r="B397" s="1"/>
      <c r="C397" s="1"/>
      <c r="D397" s="1"/>
      <c r="E397" s="1"/>
      <c r="F397" s="1"/>
      <c r="G397" s="1"/>
      <c r="H397" s="1"/>
      <c r="I397" s="1"/>
      <c r="J397" s="1"/>
      <c r="K397" s="1"/>
      <c r="L397" s="1"/>
      <c r="M397" s="1"/>
      <c r="N397" s="1"/>
      <c r="O397" s="1"/>
      <c r="P397" s="1"/>
      <c r="Q397" s="1"/>
      <c r="R397" s="1"/>
      <c r="S397" s="1"/>
      <c r="T397" s="1"/>
      <c r="U397" s="1"/>
    </row>
    <row r="398" spans="1:21" ht="15.75" customHeight="1">
      <c r="A398" s="1"/>
      <c r="B398" s="1"/>
      <c r="C398" s="1"/>
      <c r="D398" s="1"/>
      <c r="E398" s="1"/>
      <c r="F398" s="1"/>
      <c r="G398" s="1"/>
      <c r="H398" s="1"/>
      <c r="I398" s="1"/>
      <c r="J398" s="1"/>
      <c r="K398" s="1"/>
      <c r="L398" s="1"/>
      <c r="M398" s="1"/>
      <c r="N398" s="1"/>
      <c r="O398" s="1"/>
      <c r="P398" s="1"/>
      <c r="Q398" s="1"/>
      <c r="R398" s="1"/>
      <c r="S398" s="1"/>
      <c r="T398" s="1"/>
      <c r="U398" s="1"/>
    </row>
    <row r="399" spans="1:21" ht="15.75" customHeight="1">
      <c r="A399" s="1"/>
      <c r="B399" s="1"/>
      <c r="C399" s="1"/>
      <c r="D399" s="1"/>
      <c r="E399" s="1"/>
      <c r="F399" s="1"/>
      <c r="G399" s="1"/>
      <c r="H399" s="1"/>
      <c r="I399" s="1"/>
      <c r="J399" s="1"/>
      <c r="K399" s="1"/>
      <c r="L399" s="1"/>
      <c r="M399" s="1"/>
      <c r="N399" s="1"/>
      <c r="O399" s="1"/>
      <c r="P399" s="1"/>
      <c r="Q399" s="1"/>
      <c r="R399" s="1"/>
      <c r="S399" s="1"/>
      <c r="T399" s="1"/>
      <c r="U399" s="1"/>
    </row>
    <row r="400" spans="1:21" ht="15.75" customHeight="1">
      <c r="A400" s="1"/>
      <c r="B400" s="1"/>
      <c r="C400" s="1"/>
      <c r="D400" s="1"/>
      <c r="E400" s="1"/>
      <c r="F400" s="1"/>
      <c r="G400" s="1"/>
      <c r="H400" s="1"/>
      <c r="I400" s="1"/>
      <c r="J400" s="1"/>
      <c r="K400" s="1"/>
      <c r="L400" s="1"/>
      <c r="M400" s="1"/>
      <c r="N400" s="1"/>
      <c r="O400" s="1"/>
      <c r="P400" s="1"/>
      <c r="Q400" s="1"/>
      <c r="R400" s="1"/>
      <c r="S400" s="1"/>
      <c r="T400" s="1"/>
      <c r="U400" s="1"/>
    </row>
    <row r="401" spans="1:21" ht="15.75" customHeight="1">
      <c r="A401" s="1"/>
      <c r="B401" s="1"/>
      <c r="C401" s="1"/>
      <c r="D401" s="1"/>
      <c r="E401" s="1"/>
      <c r="F401" s="1"/>
      <c r="G401" s="1"/>
      <c r="H401" s="1"/>
      <c r="I401" s="1"/>
      <c r="J401" s="1"/>
      <c r="K401" s="1"/>
      <c r="L401" s="1"/>
      <c r="M401" s="1"/>
      <c r="N401" s="1"/>
      <c r="O401" s="1"/>
      <c r="P401" s="1"/>
      <c r="Q401" s="1"/>
      <c r="R401" s="1"/>
      <c r="S401" s="1"/>
      <c r="T401" s="1"/>
      <c r="U401" s="1"/>
    </row>
    <row r="402" spans="1:21" ht="15.75" customHeight="1">
      <c r="A402" s="1"/>
      <c r="B402" s="1"/>
      <c r="C402" s="1"/>
      <c r="D402" s="1"/>
      <c r="E402" s="1"/>
      <c r="F402" s="1"/>
      <c r="G402" s="1"/>
      <c r="H402" s="1"/>
      <c r="I402" s="1"/>
      <c r="J402" s="1"/>
      <c r="K402" s="1"/>
      <c r="L402" s="1"/>
      <c r="M402" s="1"/>
      <c r="N402" s="1"/>
      <c r="O402" s="1"/>
      <c r="P402" s="1"/>
      <c r="Q402" s="1"/>
      <c r="R402" s="1"/>
      <c r="S402" s="1"/>
      <c r="T402" s="1"/>
      <c r="U402" s="1"/>
    </row>
    <row r="403" spans="1:21" ht="15.75" customHeight="1">
      <c r="A403" s="1"/>
      <c r="B403" s="1"/>
      <c r="C403" s="1"/>
      <c r="D403" s="1"/>
      <c r="E403" s="1"/>
      <c r="F403" s="1"/>
      <c r="G403" s="1"/>
      <c r="H403" s="1"/>
      <c r="I403" s="1"/>
      <c r="J403" s="1"/>
      <c r="K403" s="1"/>
      <c r="L403" s="1"/>
      <c r="M403" s="1"/>
      <c r="N403" s="1"/>
      <c r="O403" s="1"/>
      <c r="P403" s="1"/>
      <c r="Q403" s="1"/>
      <c r="R403" s="1"/>
      <c r="S403" s="1"/>
      <c r="T403" s="1"/>
      <c r="U403" s="1"/>
    </row>
    <row r="404" spans="1:21" ht="15.75" customHeight="1">
      <c r="A404" s="1"/>
      <c r="B404" s="1"/>
      <c r="C404" s="1"/>
      <c r="D404" s="1"/>
      <c r="E404" s="1"/>
      <c r="F404" s="1"/>
      <c r="G404" s="1"/>
      <c r="H404" s="1"/>
      <c r="I404" s="1"/>
      <c r="J404" s="1"/>
      <c r="K404" s="1"/>
      <c r="L404" s="1"/>
      <c r="M404" s="1"/>
      <c r="N404" s="1"/>
      <c r="O404" s="1"/>
      <c r="P404" s="1"/>
      <c r="Q404" s="1"/>
      <c r="R404" s="1"/>
      <c r="S404" s="1"/>
      <c r="T404" s="1"/>
      <c r="U404" s="1"/>
    </row>
    <row r="405" spans="1:21" ht="15.75" customHeight="1">
      <c r="A405" s="1"/>
      <c r="B405" s="1"/>
      <c r="C405" s="1"/>
      <c r="D405" s="1"/>
      <c r="E405" s="1"/>
      <c r="F405" s="1"/>
      <c r="G405" s="1"/>
      <c r="H405" s="1"/>
      <c r="I405" s="1"/>
      <c r="J405" s="1"/>
      <c r="K405" s="1"/>
      <c r="L405" s="1"/>
      <c r="M405" s="1"/>
      <c r="N405" s="1"/>
      <c r="O405" s="1"/>
      <c r="P405" s="1"/>
      <c r="Q405" s="1"/>
      <c r="R405" s="1"/>
      <c r="S405" s="1"/>
      <c r="T405" s="1"/>
      <c r="U405" s="1"/>
    </row>
    <row r="406" spans="1:21" ht="15.75" customHeight="1">
      <c r="A406" s="1"/>
      <c r="B406" s="1"/>
      <c r="C406" s="1"/>
      <c r="D406" s="1"/>
      <c r="E406" s="1"/>
      <c r="F406" s="1"/>
      <c r="G406" s="1"/>
      <c r="H406" s="1"/>
      <c r="I406" s="1"/>
      <c r="J406" s="1"/>
      <c r="K406" s="1"/>
      <c r="L406" s="1"/>
      <c r="M406" s="1"/>
      <c r="N406" s="1"/>
      <c r="O406" s="1"/>
      <c r="P406" s="1"/>
      <c r="Q406" s="1"/>
      <c r="R406" s="1"/>
      <c r="S406" s="1"/>
      <c r="T406" s="1"/>
      <c r="U406" s="1"/>
    </row>
    <row r="407" spans="1:21" ht="15.75" customHeight="1">
      <c r="A407" s="1"/>
      <c r="B407" s="1"/>
      <c r="C407" s="1"/>
      <c r="D407" s="1"/>
      <c r="E407" s="1"/>
      <c r="F407" s="1"/>
      <c r="G407" s="1"/>
      <c r="H407" s="1"/>
      <c r="I407" s="1"/>
      <c r="J407" s="1"/>
      <c r="K407" s="1"/>
      <c r="L407" s="1"/>
      <c r="M407" s="1"/>
      <c r="N407" s="1"/>
      <c r="O407" s="1"/>
      <c r="P407" s="1"/>
      <c r="Q407" s="1"/>
      <c r="R407" s="1"/>
      <c r="S407" s="1"/>
      <c r="T407" s="1"/>
      <c r="U407" s="1"/>
    </row>
    <row r="408" spans="1:21" ht="15.75" customHeight="1">
      <c r="A408" s="1"/>
      <c r="B408" s="1"/>
      <c r="C408" s="1"/>
      <c r="D408" s="1"/>
      <c r="E408" s="1"/>
      <c r="F408" s="1"/>
      <c r="G408" s="1"/>
      <c r="H408" s="1"/>
      <c r="I408" s="1"/>
      <c r="J408" s="1"/>
      <c r="K408" s="1"/>
      <c r="L408" s="1"/>
      <c r="M408" s="1"/>
      <c r="N408" s="1"/>
      <c r="O408" s="1"/>
      <c r="P408" s="1"/>
      <c r="Q408" s="1"/>
      <c r="R408" s="1"/>
      <c r="S408" s="1"/>
      <c r="T408" s="1"/>
      <c r="U408" s="1"/>
    </row>
    <row r="409" spans="1:21" ht="15.75" customHeight="1">
      <c r="A409" s="1"/>
      <c r="B409" s="1"/>
      <c r="C409" s="1"/>
      <c r="D409" s="1"/>
      <c r="E409" s="1"/>
      <c r="F409" s="1"/>
      <c r="G409" s="1"/>
      <c r="H409" s="1"/>
      <c r="I409" s="1"/>
      <c r="J409" s="1"/>
      <c r="K409" s="1"/>
      <c r="L409" s="1"/>
      <c r="M409" s="1"/>
      <c r="N409" s="1"/>
      <c r="O409" s="1"/>
      <c r="P409" s="1"/>
      <c r="Q409" s="1"/>
      <c r="R409" s="1"/>
      <c r="S409" s="1"/>
      <c r="T409" s="1"/>
      <c r="U409" s="1"/>
    </row>
    <row r="410" spans="1:21" ht="15.75" customHeight="1">
      <c r="A410" s="1"/>
      <c r="B410" s="1"/>
      <c r="C410" s="1"/>
      <c r="D410" s="1"/>
      <c r="E410" s="1"/>
      <c r="F410" s="1"/>
      <c r="G410" s="1"/>
      <c r="H410" s="1"/>
      <c r="I410" s="1"/>
      <c r="J410" s="1"/>
      <c r="K410" s="1"/>
      <c r="L410" s="1"/>
      <c r="M410" s="1"/>
      <c r="N410" s="1"/>
      <c r="O410" s="1"/>
      <c r="P410" s="1"/>
      <c r="Q410" s="1"/>
      <c r="R410" s="1"/>
      <c r="S410" s="1"/>
      <c r="T410" s="1"/>
      <c r="U410" s="1"/>
    </row>
    <row r="411" spans="1:21" ht="15.75" customHeight="1">
      <c r="A411" s="1"/>
      <c r="B411" s="1"/>
      <c r="C411" s="1"/>
      <c r="D411" s="1"/>
      <c r="E411" s="1"/>
      <c r="F411" s="1"/>
      <c r="G411" s="1"/>
      <c r="H411" s="1"/>
      <c r="I411" s="1"/>
      <c r="J411" s="1"/>
      <c r="K411" s="1"/>
      <c r="L411" s="1"/>
      <c r="M411" s="1"/>
      <c r="N411" s="1"/>
      <c r="O411" s="1"/>
      <c r="P411" s="1"/>
      <c r="Q411" s="1"/>
      <c r="R411" s="1"/>
      <c r="S411" s="1"/>
      <c r="T411" s="1"/>
      <c r="U411" s="1"/>
    </row>
    <row r="412" spans="1:21" ht="15.75" customHeight="1">
      <c r="A412" s="1"/>
      <c r="B412" s="1"/>
      <c r="C412" s="1"/>
      <c r="D412" s="1"/>
      <c r="E412" s="1"/>
      <c r="F412" s="1"/>
      <c r="G412" s="1"/>
      <c r="H412" s="1"/>
      <c r="I412" s="1"/>
      <c r="J412" s="1"/>
      <c r="K412" s="1"/>
      <c r="L412" s="1"/>
      <c r="M412" s="1"/>
      <c r="N412" s="1"/>
      <c r="O412" s="1"/>
      <c r="P412" s="1"/>
      <c r="Q412" s="1"/>
      <c r="R412" s="1"/>
      <c r="S412" s="1"/>
      <c r="T412" s="1"/>
      <c r="U412" s="1"/>
    </row>
    <row r="413" spans="1:21" ht="15.75" customHeight="1">
      <c r="A413" s="1"/>
      <c r="B413" s="1"/>
      <c r="C413" s="1"/>
      <c r="D413" s="1"/>
      <c r="E413" s="1"/>
      <c r="F413" s="1"/>
      <c r="G413" s="1"/>
      <c r="H413" s="1"/>
      <c r="I413" s="1"/>
      <c r="J413" s="1"/>
      <c r="K413" s="1"/>
      <c r="L413" s="1"/>
      <c r="M413" s="1"/>
      <c r="N413" s="1"/>
      <c r="O413" s="1"/>
      <c r="P413" s="1"/>
      <c r="Q413" s="1"/>
      <c r="R413" s="1"/>
      <c r="S413" s="1"/>
      <c r="T413" s="1"/>
      <c r="U413" s="1"/>
    </row>
    <row r="414" spans="1:21" ht="15.75" customHeight="1">
      <c r="A414" s="1"/>
      <c r="B414" s="1"/>
      <c r="C414" s="1"/>
      <c r="D414" s="1"/>
      <c r="E414" s="1"/>
      <c r="F414" s="1"/>
      <c r="G414" s="1"/>
      <c r="H414" s="1"/>
      <c r="I414" s="1"/>
      <c r="J414" s="1"/>
      <c r="K414" s="1"/>
      <c r="L414" s="1"/>
      <c r="M414" s="1"/>
      <c r="N414" s="1"/>
      <c r="O414" s="1"/>
      <c r="P414" s="1"/>
      <c r="Q414" s="1"/>
      <c r="R414" s="1"/>
      <c r="S414" s="1"/>
      <c r="T414" s="1"/>
      <c r="U414" s="1"/>
    </row>
    <row r="415" spans="1:21" ht="15.75" customHeight="1">
      <c r="A415" s="1"/>
      <c r="B415" s="1"/>
      <c r="C415" s="1"/>
      <c r="D415" s="1"/>
      <c r="E415" s="1"/>
      <c r="F415" s="1"/>
      <c r="G415" s="1"/>
      <c r="H415" s="1"/>
      <c r="I415" s="1"/>
      <c r="J415" s="1"/>
      <c r="K415" s="1"/>
      <c r="L415" s="1"/>
      <c r="M415" s="1"/>
      <c r="N415" s="1"/>
      <c r="O415" s="1"/>
      <c r="P415" s="1"/>
      <c r="Q415" s="1"/>
      <c r="R415" s="1"/>
      <c r="S415" s="1"/>
      <c r="T415" s="1"/>
      <c r="U415" s="1"/>
    </row>
    <row r="416" spans="1:21" ht="15.75" customHeight="1">
      <c r="A416" s="1"/>
      <c r="B416" s="1"/>
      <c r="C416" s="1"/>
      <c r="D416" s="1"/>
      <c r="E416" s="1"/>
      <c r="F416" s="1"/>
      <c r="G416" s="1"/>
      <c r="H416" s="1"/>
      <c r="I416" s="1"/>
      <c r="J416" s="1"/>
      <c r="K416" s="1"/>
      <c r="L416" s="1"/>
      <c r="M416" s="1"/>
      <c r="N416" s="1"/>
      <c r="O416" s="1"/>
      <c r="P416" s="1"/>
      <c r="Q416" s="1"/>
      <c r="R416" s="1"/>
      <c r="S416" s="1"/>
      <c r="T416" s="1"/>
      <c r="U416" s="1"/>
    </row>
    <row r="417" spans="1:21" ht="15.75" customHeight="1">
      <c r="A417" s="1"/>
      <c r="B417" s="1"/>
      <c r="C417" s="1"/>
      <c r="D417" s="1"/>
      <c r="E417" s="1"/>
      <c r="F417" s="1"/>
      <c r="G417" s="1"/>
      <c r="H417" s="1"/>
      <c r="I417" s="1"/>
      <c r="J417" s="1"/>
      <c r="K417" s="1"/>
      <c r="L417" s="1"/>
      <c r="M417" s="1"/>
      <c r="N417" s="1"/>
      <c r="O417" s="1"/>
      <c r="P417" s="1"/>
      <c r="Q417" s="1"/>
      <c r="R417" s="1"/>
      <c r="S417" s="1"/>
      <c r="T417" s="1"/>
      <c r="U417" s="1"/>
    </row>
    <row r="418" spans="1:21" ht="15.75" customHeight="1">
      <c r="A418" s="1"/>
      <c r="B418" s="1"/>
      <c r="C418" s="1"/>
      <c r="D418" s="1"/>
      <c r="E418" s="1"/>
      <c r="F418" s="1"/>
      <c r="G418" s="1"/>
      <c r="H418" s="1"/>
      <c r="I418" s="1"/>
      <c r="J418" s="1"/>
      <c r="K418" s="1"/>
      <c r="L418" s="1"/>
      <c r="M418" s="1"/>
      <c r="N418" s="1"/>
      <c r="O418" s="1"/>
      <c r="P418" s="1"/>
      <c r="Q418" s="1"/>
      <c r="R418" s="1"/>
      <c r="S418" s="1"/>
      <c r="T418" s="1"/>
      <c r="U418" s="1"/>
    </row>
    <row r="419" spans="1:21" ht="15.75" customHeight="1">
      <c r="A419" s="1"/>
      <c r="B419" s="1"/>
      <c r="C419" s="1"/>
      <c r="D419" s="1"/>
      <c r="E419" s="1"/>
      <c r="F419" s="1"/>
      <c r="G419" s="1"/>
      <c r="H419" s="1"/>
      <c r="I419" s="1"/>
      <c r="J419" s="1"/>
      <c r="K419" s="1"/>
      <c r="L419" s="1"/>
      <c r="M419" s="1"/>
      <c r="N419" s="1"/>
      <c r="O419" s="1"/>
      <c r="P419" s="1"/>
      <c r="Q419" s="1"/>
      <c r="R419" s="1"/>
      <c r="S419" s="1"/>
      <c r="T419" s="1"/>
      <c r="U419" s="1"/>
    </row>
    <row r="420" spans="1:21" ht="15.75" customHeight="1">
      <c r="A420" s="1"/>
      <c r="B420" s="1"/>
      <c r="C420" s="1"/>
      <c r="D420" s="1"/>
      <c r="E420" s="1"/>
      <c r="F420" s="1"/>
      <c r="G420" s="1"/>
      <c r="H420" s="1"/>
      <c r="I420" s="1"/>
      <c r="J420" s="1"/>
      <c r="K420" s="1"/>
      <c r="L420" s="1"/>
      <c r="M420" s="1"/>
      <c r="N420" s="1"/>
      <c r="O420" s="1"/>
      <c r="P420" s="1"/>
      <c r="Q420" s="1"/>
      <c r="R420" s="1"/>
      <c r="S420" s="1"/>
      <c r="T420" s="1"/>
      <c r="U420" s="1"/>
    </row>
    <row r="421" spans="1:21" ht="15.75" customHeight="1">
      <c r="A421" s="1"/>
      <c r="B421" s="1"/>
      <c r="C421" s="1"/>
      <c r="D421" s="1"/>
      <c r="E421" s="1"/>
      <c r="F421" s="1"/>
      <c r="G421" s="1"/>
      <c r="H421" s="1"/>
      <c r="I421" s="1"/>
      <c r="J421" s="1"/>
      <c r="K421" s="1"/>
      <c r="L421" s="1"/>
      <c r="M421" s="1"/>
      <c r="N421" s="1"/>
      <c r="O421" s="1"/>
      <c r="P421" s="1"/>
      <c r="Q421" s="1"/>
      <c r="R421" s="1"/>
      <c r="S421" s="1"/>
      <c r="T421" s="1"/>
      <c r="U421" s="1"/>
    </row>
    <row r="422" spans="1:21" ht="15.75" customHeight="1">
      <c r="A422" s="1"/>
      <c r="B422" s="1"/>
      <c r="C422" s="1"/>
      <c r="D422" s="1"/>
      <c r="E422" s="1"/>
      <c r="F422" s="1"/>
      <c r="G422" s="1"/>
      <c r="H422" s="1"/>
      <c r="I422" s="1"/>
      <c r="J422" s="1"/>
      <c r="K422" s="1"/>
      <c r="L422" s="1"/>
      <c r="M422" s="1"/>
      <c r="N422" s="1"/>
      <c r="O422" s="1"/>
      <c r="P422" s="1"/>
      <c r="Q422" s="1"/>
      <c r="R422" s="1"/>
      <c r="S422" s="1"/>
      <c r="T422" s="1"/>
      <c r="U422" s="1"/>
    </row>
    <row r="423" spans="1:21" ht="15.75" customHeight="1">
      <c r="A423" s="1"/>
      <c r="B423" s="1"/>
      <c r="C423" s="1"/>
      <c r="D423" s="1"/>
      <c r="E423" s="1"/>
      <c r="F423" s="1"/>
      <c r="G423" s="1"/>
      <c r="H423" s="1"/>
      <c r="I423" s="1"/>
      <c r="J423" s="1"/>
      <c r="K423" s="1"/>
      <c r="L423" s="1"/>
      <c r="M423" s="1"/>
      <c r="N423" s="1"/>
      <c r="O423" s="1"/>
      <c r="P423" s="1"/>
      <c r="Q423" s="1"/>
      <c r="R423" s="1"/>
      <c r="S423" s="1"/>
      <c r="T423" s="1"/>
      <c r="U423" s="1"/>
    </row>
    <row r="424" spans="1:21" ht="15.75" customHeight="1">
      <c r="A424" s="1"/>
      <c r="B424" s="1"/>
      <c r="C424" s="1"/>
      <c r="D424" s="1"/>
      <c r="E424" s="1"/>
      <c r="F424" s="1"/>
      <c r="G424" s="1"/>
      <c r="H424" s="1"/>
      <c r="I424" s="1"/>
      <c r="J424" s="1"/>
      <c r="K424" s="1"/>
      <c r="L424" s="1"/>
      <c r="M424" s="1"/>
      <c r="N424" s="1"/>
      <c r="O424" s="1"/>
      <c r="P424" s="1"/>
      <c r="Q424" s="1"/>
      <c r="R424" s="1"/>
      <c r="S424" s="1"/>
      <c r="T424" s="1"/>
      <c r="U424" s="1"/>
    </row>
    <row r="425" spans="1:21" ht="15.75" customHeight="1">
      <c r="A425" s="1"/>
      <c r="B425" s="1"/>
      <c r="C425" s="1"/>
      <c r="D425" s="1"/>
      <c r="E425" s="1"/>
      <c r="F425" s="1"/>
      <c r="G425" s="1"/>
      <c r="H425" s="1"/>
      <c r="I425" s="1"/>
      <c r="J425" s="1"/>
      <c r="K425" s="1"/>
      <c r="L425" s="1"/>
      <c r="M425" s="1"/>
      <c r="N425" s="1"/>
      <c r="O425" s="1"/>
      <c r="P425" s="1"/>
      <c r="Q425" s="1"/>
      <c r="R425" s="1"/>
      <c r="S425" s="1"/>
      <c r="T425" s="1"/>
      <c r="U425" s="1"/>
    </row>
    <row r="426" spans="1:21" ht="15.75" customHeight="1">
      <c r="A426" s="1"/>
      <c r="B426" s="1"/>
      <c r="C426" s="1"/>
      <c r="D426" s="1"/>
      <c r="E426" s="1"/>
      <c r="F426" s="1"/>
      <c r="G426" s="1"/>
      <c r="H426" s="1"/>
      <c r="I426" s="1"/>
      <c r="J426" s="1"/>
      <c r="K426" s="1"/>
      <c r="L426" s="1"/>
      <c r="M426" s="1"/>
      <c r="N426" s="1"/>
      <c r="O426" s="1"/>
      <c r="P426" s="1"/>
      <c r="Q426" s="1"/>
      <c r="R426" s="1"/>
      <c r="S426" s="1"/>
      <c r="T426" s="1"/>
      <c r="U426" s="1"/>
    </row>
    <row r="427" spans="1:21" ht="15.75" customHeight="1">
      <c r="A427" s="1"/>
      <c r="B427" s="1"/>
      <c r="C427" s="1"/>
      <c r="D427" s="1"/>
      <c r="E427" s="1"/>
      <c r="F427" s="1"/>
      <c r="G427" s="1"/>
      <c r="H427" s="1"/>
      <c r="I427" s="1"/>
      <c r="J427" s="1"/>
      <c r="K427" s="1"/>
      <c r="L427" s="1"/>
      <c r="M427" s="1"/>
      <c r="N427" s="1"/>
      <c r="O427" s="1"/>
      <c r="P427" s="1"/>
      <c r="Q427" s="1"/>
      <c r="R427" s="1"/>
      <c r="S427" s="1"/>
      <c r="T427" s="1"/>
      <c r="U427" s="1"/>
    </row>
    <row r="428" spans="1:21" ht="15.75" customHeight="1">
      <c r="A428" s="1"/>
      <c r="B428" s="1"/>
      <c r="C428" s="1"/>
      <c r="D428" s="1"/>
      <c r="E428" s="1"/>
      <c r="F428" s="1"/>
      <c r="G428" s="1"/>
      <c r="H428" s="1"/>
      <c r="I428" s="1"/>
      <c r="J428" s="1"/>
      <c r="K428" s="1"/>
      <c r="L428" s="1"/>
      <c r="M428" s="1"/>
      <c r="N428" s="1"/>
      <c r="O428" s="1"/>
      <c r="P428" s="1"/>
      <c r="Q428" s="1"/>
      <c r="R428" s="1"/>
      <c r="S428" s="1"/>
      <c r="T428" s="1"/>
      <c r="U428" s="1"/>
    </row>
    <row r="429" spans="1:21" ht="15.75" customHeight="1">
      <c r="A429" s="1"/>
      <c r="B429" s="1"/>
      <c r="C429" s="1"/>
      <c r="D429" s="1"/>
      <c r="E429" s="1"/>
      <c r="F429" s="1"/>
      <c r="G429" s="1"/>
      <c r="H429" s="1"/>
      <c r="I429" s="1"/>
      <c r="J429" s="1"/>
      <c r="K429" s="1"/>
      <c r="L429" s="1"/>
      <c r="M429" s="1"/>
      <c r="N429" s="1"/>
      <c r="O429" s="1"/>
      <c r="P429" s="1"/>
      <c r="Q429" s="1"/>
      <c r="R429" s="1"/>
      <c r="S429" s="1"/>
      <c r="T429" s="1"/>
      <c r="U429" s="1"/>
    </row>
    <row r="430" spans="1:21" ht="15.75" customHeight="1">
      <c r="A430" s="1"/>
      <c r="B430" s="1"/>
      <c r="C430" s="1"/>
      <c r="D430" s="1"/>
      <c r="E430" s="1"/>
      <c r="F430" s="1"/>
      <c r="G430" s="1"/>
      <c r="H430" s="1"/>
      <c r="I430" s="1"/>
      <c r="J430" s="1"/>
      <c r="K430" s="1"/>
      <c r="L430" s="1"/>
      <c r="M430" s="1"/>
      <c r="N430" s="1"/>
      <c r="O430" s="1"/>
      <c r="P430" s="1"/>
      <c r="Q430" s="1"/>
      <c r="R430" s="1"/>
      <c r="S430" s="1"/>
      <c r="T430" s="1"/>
      <c r="U430" s="1"/>
    </row>
    <row r="431" spans="1:21" ht="15.75" customHeight="1">
      <c r="A431" s="1"/>
      <c r="B431" s="1"/>
      <c r="C431" s="1"/>
      <c r="D431" s="1"/>
      <c r="E431" s="1"/>
      <c r="F431" s="1"/>
      <c r="G431" s="1"/>
      <c r="H431" s="1"/>
      <c r="I431" s="1"/>
      <c r="J431" s="1"/>
      <c r="K431" s="1"/>
      <c r="L431" s="1"/>
      <c r="M431" s="1"/>
      <c r="N431" s="1"/>
      <c r="O431" s="1"/>
      <c r="P431" s="1"/>
      <c r="Q431" s="1"/>
      <c r="R431" s="1"/>
      <c r="S431" s="1"/>
      <c r="T431" s="1"/>
      <c r="U431" s="1"/>
    </row>
    <row r="432" spans="1:21" ht="15.75" customHeight="1">
      <c r="A432" s="1"/>
      <c r="B432" s="1"/>
      <c r="C432" s="1"/>
      <c r="D432" s="1"/>
      <c r="E432" s="1"/>
      <c r="F432" s="1"/>
      <c r="G432" s="1"/>
      <c r="H432" s="1"/>
      <c r="I432" s="1"/>
      <c r="J432" s="1"/>
      <c r="K432" s="1"/>
      <c r="L432" s="1"/>
      <c r="M432" s="1"/>
      <c r="N432" s="1"/>
      <c r="O432" s="1"/>
      <c r="P432" s="1"/>
      <c r="Q432" s="1"/>
      <c r="R432" s="1"/>
      <c r="S432" s="1"/>
      <c r="T432" s="1"/>
      <c r="U432" s="1"/>
    </row>
    <row r="433" spans="1:21" ht="15.75" customHeight="1">
      <c r="A433" s="1"/>
      <c r="B433" s="1"/>
      <c r="C433" s="1"/>
      <c r="D433" s="1"/>
      <c r="E433" s="1"/>
      <c r="F433" s="1"/>
      <c r="G433" s="1"/>
      <c r="H433" s="1"/>
      <c r="I433" s="1"/>
      <c r="J433" s="1"/>
      <c r="K433" s="1"/>
      <c r="L433" s="1"/>
      <c r="M433" s="1"/>
      <c r="N433" s="1"/>
      <c r="O433" s="1"/>
      <c r="P433" s="1"/>
      <c r="Q433" s="1"/>
      <c r="R433" s="1"/>
      <c r="S433" s="1"/>
      <c r="T433" s="1"/>
      <c r="U433" s="1"/>
    </row>
    <row r="434" spans="1:21" ht="15.75" customHeight="1">
      <c r="A434" s="1"/>
      <c r="B434" s="1"/>
      <c r="C434" s="1"/>
      <c r="D434" s="1"/>
      <c r="E434" s="1"/>
      <c r="F434" s="1"/>
      <c r="G434" s="1"/>
      <c r="H434" s="1"/>
      <c r="I434" s="1"/>
      <c r="J434" s="1"/>
      <c r="K434" s="1"/>
      <c r="L434" s="1"/>
      <c r="M434" s="1"/>
      <c r="N434" s="1"/>
      <c r="O434" s="1"/>
      <c r="P434" s="1"/>
      <c r="Q434" s="1"/>
      <c r="R434" s="1"/>
      <c r="S434" s="1"/>
      <c r="T434" s="1"/>
      <c r="U434" s="1"/>
    </row>
    <row r="435" spans="1:21" ht="15.75" customHeight="1">
      <c r="A435" s="1"/>
      <c r="B435" s="1"/>
      <c r="C435" s="1"/>
      <c r="D435" s="1"/>
      <c r="E435" s="1"/>
      <c r="F435" s="1"/>
      <c r="G435" s="1"/>
      <c r="H435" s="1"/>
      <c r="I435" s="1"/>
      <c r="J435" s="1"/>
      <c r="K435" s="1"/>
      <c r="L435" s="1"/>
      <c r="M435" s="1"/>
      <c r="N435" s="1"/>
      <c r="O435" s="1"/>
      <c r="P435" s="1"/>
      <c r="Q435" s="1"/>
      <c r="R435" s="1"/>
      <c r="S435" s="1"/>
      <c r="T435" s="1"/>
      <c r="U435" s="1"/>
    </row>
    <row r="436" spans="1:21" ht="15.75" customHeight="1">
      <c r="A436" s="1"/>
      <c r="B436" s="1"/>
      <c r="C436" s="1"/>
      <c r="D436" s="1"/>
      <c r="E436" s="1"/>
      <c r="F436" s="1"/>
      <c r="G436" s="1"/>
      <c r="H436" s="1"/>
      <c r="I436" s="1"/>
      <c r="J436" s="1"/>
      <c r="K436" s="1"/>
      <c r="L436" s="1"/>
      <c r="M436" s="1"/>
      <c r="N436" s="1"/>
      <c r="O436" s="1"/>
      <c r="P436" s="1"/>
      <c r="Q436" s="1"/>
      <c r="R436" s="1"/>
      <c r="S436" s="1"/>
      <c r="T436" s="1"/>
      <c r="U436" s="1"/>
    </row>
    <row r="437" spans="1:21" ht="15.75" customHeight="1">
      <c r="A437" s="1"/>
      <c r="B437" s="1"/>
      <c r="C437" s="1"/>
      <c r="D437" s="1"/>
      <c r="E437" s="1"/>
      <c r="F437" s="1"/>
      <c r="G437" s="1"/>
      <c r="H437" s="1"/>
      <c r="I437" s="1"/>
      <c r="J437" s="1"/>
      <c r="K437" s="1"/>
      <c r="L437" s="1"/>
      <c r="M437" s="1"/>
      <c r="N437" s="1"/>
      <c r="O437" s="1"/>
      <c r="P437" s="1"/>
      <c r="Q437" s="1"/>
      <c r="R437" s="1"/>
      <c r="S437" s="1"/>
      <c r="T437" s="1"/>
      <c r="U437" s="1"/>
    </row>
    <row r="438" spans="1:21" ht="15.75" customHeight="1">
      <c r="A438" s="1"/>
      <c r="B438" s="1"/>
      <c r="C438" s="1"/>
      <c r="D438" s="1"/>
      <c r="E438" s="1"/>
      <c r="F438" s="1"/>
      <c r="G438" s="1"/>
      <c r="H438" s="1"/>
      <c r="I438" s="1"/>
      <c r="J438" s="1"/>
      <c r="K438" s="1"/>
      <c r="L438" s="1"/>
      <c r="M438" s="1"/>
      <c r="N438" s="1"/>
      <c r="O438" s="1"/>
      <c r="P438" s="1"/>
      <c r="Q438" s="1"/>
      <c r="R438" s="1"/>
      <c r="S438" s="1"/>
      <c r="T438" s="1"/>
      <c r="U438" s="1"/>
    </row>
    <row r="439" spans="1:21" ht="15.75" customHeight="1">
      <c r="A439" s="1"/>
      <c r="B439" s="1"/>
      <c r="C439" s="1"/>
      <c r="D439" s="1"/>
      <c r="E439" s="1"/>
      <c r="F439" s="1"/>
      <c r="G439" s="1"/>
      <c r="H439" s="1"/>
      <c r="I439" s="1"/>
      <c r="J439" s="1"/>
      <c r="K439" s="1"/>
      <c r="L439" s="1"/>
      <c r="M439" s="1"/>
      <c r="N439" s="1"/>
      <c r="O439" s="1"/>
      <c r="P439" s="1"/>
      <c r="Q439" s="1"/>
      <c r="R439" s="1"/>
      <c r="S439" s="1"/>
      <c r="T439" s="1"/>
      <c r="U439" s="1"/>
    </row>
    <row r="440" spans="1:21" ht="15.75" customHeight="1">
      <c r="A440" s="1"/>
      <c r="B440" s="1"/>
      <c r="C440" s="1"/>
      <c r="D440" s="1"/>
      <c r="E440" s="1"/>
      <c r="F440" s="1"/>
      <c r="G440" s="1"/>
      <c r="H440" s="1"/>
      <c r="I440" s="1"/>
      <c r="J440" s="1"/>
      <c r="K440" s="1"/>
      <c r="L440" s="1"/>
      <c r="M440" s="1"/>
      <c r="N440" s="1"/>
      <c r="O440" s="1"/>
      <c r="P440" s="1"/>
      <c r="Q440" s="1"/>
      <c r="R440" s="1"/>
      <c r="S440" s="1"/>
      <c r="T440" s="1"/>
      <c r="U440" s="1"/>
    </row>
    <row r="441" spans="1:21" ht="15.75" customHeight="1">
      <c r="A441" s="1"/>
      <c r="B441" s="1"/>
      <c r="C441" s="1"/>
      <c r="D441" s="1"/>
      <c r="E441" s="1"/>
      <c r="F441" s="1"/>
      <c r="G441" s="1"/>
      <c r="H441" s="1"/>
      <c r="I441" s="1"/>
      <c r="J441" s="1"/>
      <c r="K441" s="1"/>
      <c r="L441" s="1"/>
      <c r="M441" s="1"/>
      <c r="N441" s="1"/>
      <c r="O441" s="1"/>
      <c r="P441" s="1"/>
      <c r="Q441" s="1"/>
      <c r="R441" s="1"/>
      <c r="S441" s="1"/>
      <c r="T441" s="1"/>
      <c r="U441" s="1"/>
    </row>
    <row r="442" spans="1:21" ht="15.75" customHeight="1">
      <c r="A442" s="1"/>
      <c r="B442" s="1"/>
      <c r="C442" s="1"/>
      <c r="D442" s="1"/>
      <c r="E442" s="1"/>
      <c r="F442" s="1"/>
      <c r="G442" s="1"/>
      <c r="H442" s="1"/>
      <c r="I442" s="1"/>
      <c r="J442" s="1"/>
      <c r="K442" s="1"/>
      <c r="L442" s="1"/>
      <c r="M442" s="1"/>
      <c r="N442" s="1"/>
      <c r="O442" s="1"/>
      <c r="P442" s="1"/>
      <c r="Q442" s="1"/>
      <c r="R442" s="1"/>
      <c r="S442" s="1"/>
      <c r="T442" s="1"/>
      <c r="U442" s="1"/>
    </row>
    <row r="443" spans="1:21" ht="15.75" customHeight="1">
      <c r="A443" s="1"/>
      <c r="B443" s="1"/>
      <c r="C443" s="1"/>
      <c r="D443" s="1"/>
      <c r="E443" s="1"/>
      <c r="F443" s="1"/>
      <c r="G443" s="1"/>
      <c r="H443" s="1"/>
      <c r="I443" s="1"/>
      <c r="J443" s="1"/>
      <c r="K443" s="1"/>
      <c r="L443" s="1"/>
      <c r="M443" s="1"/>
      <c r="N443" s="1"/>
      <c r="O443" s="1"/>
      <c r="P443" s="1"/>
      <c r="Q443" s="1"/>
      <c r="R443" s="1"/>
      <c r="S443" s="1"/>
      <c r="T443" s="1"/>
      <c r="U443" s="1"/>
    </row>
    <row r="444" spans="1:21" ht="15.75" customHeight="1">
      <c r="A444" s="1"/>
      <c r="B444" s="1"/>
      <c r="C444" s="1"/>
      <c r="D444" s="1"/>
      <c r="E444" s="1"/>
      <c r="F444" s="1"/>
      <c r="G444" s="1"/>
      <c r="H444" s="1"/>
      <c r="I444" s="1"/>
      <c r="J444" s="1"/>
      <c r="K444" s="1"/>
      <c r="L444" s="1"/>
      <c r="M444" s="1"/>
      <c r="N444" s="1"/>
      <c r="O444" s="1"/>
      <c r="P444" s="1"/>
      <c r="Q444" s="1"/>
      <c r="R444" s="1"/>
      <c r="S444" s="1"/>
      <c r="T444" s="1"/>
      <c r="U444" s="1"/>
    </row>
    <row r="445" spans="1:21" ht="15.75" customHeight="1">
      <c r="A445" s="1"/>
      <c r="B445" s="1"/>
      <c r="C445" s="1"/>
      <c r="D445" s="1"/>
      <c r="E445" s="1"/>
      <c r="F445" s="1"/>
      <c r="G445" s="1"/>
      <c r="H445" s="1"/>
      <c r="I445" s="1"/>
      <c r="J445" s="1"/>
      <c r="K445" s="1"/>
      <c r="L445" s="1"/>
      <c r="M445" s="1"/>
      <c r="N445" s="1"/>
      <c r="O445" s="1"/>
      <c r="P445" s="1"/>
      <c r="Q445" s="1"/>
      <c r="R445" s="1"/>
      <c r="S445" s="1"/>
      <c r="T445" s="1"/>
      <c r="U445" s="1"/>
    </row>
    <row r="446" spans="1:21" ht="15.75" customHeight="1">
      <c r="A446" s="1"/>
      <c r="B446" s="1"/>
      <c r="C446" s="1"/>
      <c r="D446" s="1"/>
      <c r="E446" s="1"/>
      <c r="F446" s="1"/>
      <c r="G446" s="1"/>
      <c r="H446" s="1"/>
      <c r="I446" s="1"/>
      <c r="J446" s="1"/>
      <c r="K446" s="1"/>
      <c r="L446" s="1"/>
      <c r="M446" s="1"/>
      <c r="N446" s="1"/>
      <c r="O446" s="1"/>
      <c r="P446" s="1"/>
      <c r="Q446" s="1"/>
      <c r="R446" s="1"/>
      <c r="S446" s="1"/>
      <c r="T446" s="1"/>
      <c r="U446" s="1"/>
    </row>
    <row r="447" spans="1:21" ht="15.75" customHeight="1">
      <c r="A447" s="1"/>
      <c r="B447" s="1"/>
      <c r="C447" s="1"/>
      <c r="D447" s="1"/>
      <c r="E447" s="1"/>
      <c r="F447" s="1"/>
      <c r="G447" s="1"/>
      <c r="H447" s="1"/>
      <c r="I447" s="1"/>
      <c r="J447" s="1"/>
      <c r="K447" s="1"/>
      <c r="L447" s="1"/>
      <c r="M447" s="1"/>
      <c r="N447" s="1"/>
      <c r="O447" s="1"/>
      <c r="P447" s="1"/>
      <c r="Q447" s="1"/>
      <c r="R447" s="1"/>
      <c r="S447" s="1"/>
      <c r="T447" s="1"/>
      <c r="U447" s="1"/>
    </row>
    <row r="448" spans="1:21" ht="15.75" customHeight="1">
      <c r="A448" s="1"/>
      <c r="B448" s="1"/>
      <c r="C448" s="1"/>
      <c r="D448" s="1"/>
      <c r="E448" s="1"/>
      <c r="F448" s="1"/>
      <c r="G448" s="1"/>
      <c r="H448" s="1"/>
      <c r="I448" s="1"/>
      <c r="J448" s="1"/>
      <c r="K448" s="1"/>
      <c r="L448" s="1"/>
      <c r="M448" s="1"/>
      <c r="N448" s="1"/>
      <c r="O448" s="1"/>
      <c r="P448" s="1"/>
      <c r="Q448" s="1"/>
      <c r="R448" s="1"/>
      <c r="S448" s="1"/>
      <c r="T448" s="1"/>
      <c r="U448" s="1"/>
    </row>
    <row r="449" spans="1:21" ht="15.75" customHeight="1">
      <c r="A449" s="1"/>
      <c r="B449" s="1"/>
      <c r="C449" s="1"/>
      <c r="D449" s="1"/>
      <c r="E449" s="1"/>
      <c r="F449" s="1"/>
      <c r="G449" s="1"/>
      <c r="H449" s="1"/>
      <c r="I449" s="1"/>
      <c r="J449" s="1"/>
      <c r="K449" s="1"/>
      <c r="L449" s="1"/>
      <c r="M449" s="1"/>
      <c r="N449" s="1"/>
      <c r="O449" s="1"/>
      <c r="P449" s="1"/>
      <c r="Q449" s="1"/>
      <c r="R449" s="1"/>
      <c r="S449" s="1"/>
      <c r="T449" s="1"/>
      <c r="U449" s="1"/>
    </row>
    <row r="450" spans="1:21" ht="15.75" customHeight="1">
      <c r="A450" s="1"/>
      <c r="B450" s="1"/>
      <c r="C450" s="1"/>
      <c r="D450" s="1"/>
      <c r="E450" s="1"/>
      <c r="F450" s="1"/>
      <c r="G450" s="1"/>
      <c r="H450" s="1"/>
      <c r="I450" s="1"/>
      <c r="J450" s="1"/>
      <c r="K450" s="1"/>
      <c r="L450" s="1"/>
      <c r="M450" s="1"/>
      <c r="N450" s="1"/>
      <c r="O450" s="1"/>
      <c r="P450" s="1"/>
      <c r="Q450" s="1"/>
      <c r="R450" s="1"/>
      <c r="S450" s="1"/>
      <c r="T450" s="1"/>
      <c r="U450" s="1"/>
    </row>
    <row r="451" spans="1:21" ht="15.75" customHeight="1">
      <c r="A451" s="1"/>
      <c r="B451" s="1"/>
      <c r="C451" s="1"/>
      <c r="D451" s="1"/>
      <c r="E451" s="1"/>
      <c r="F451" s="1"/>
      <c r="G451" s="1"/>
      <c r="H451" s="1"/>
      <c r="I451" s="1"/>
      <c r="J451" s="1"/>
      <c r="K451" s="1"/>
      <c r="L451" s="1"/>
      <c r="M451" s="1"/>
      <c r="N451" s="1"/>
      <c r="O451" s="1"/>
      <c r="P451" s="1"/>
      <c r="Q451" s="1"/>
      <c r="R451" s="1"/>
      <c r="S451" s="1"/>
      <c r="T451" s="1"/>
      <c r="U451" s="1"/>
    </row>
    <row r="452" spans="1:21" ht="15.75" customHeight="1">
      <c r="A452" s="1"/>
      <c r="B452" s="1"/>
      <c r="C452" s="1"/>
      <c r="D452" s="1"/>
      <c r="E452" s="1"/>
      <c r="F452" s="1"/>
      <c r="G452" s="1"/>
      <c r="H452" s="1"/>
      <c r="I452" s="1"/>
      <c r="J452" s="1"/>
      <c r="K452" s="1"/>
      <c r="L452" s="1"/>
      <c r="M452" s="1"/>
      <c r="N452" s="1"/>
      <c r="O452" s="1"/>
      <c r="P452" s="1"/>
      <c r="Q452" s="1"/>
      <c r="R452" s="1"/>
      <c r="S452" s="1"/>
      <c r="T452" s="1"/>
      <c r="U452" s="1"/>
    </row>
    <row r="453" spans="1:21" ht="15.75" customHeight="1">
      <c r="A453" s="1"/>
      <c r="B453" s="1"/>
      <c r="C453" s="1"/>
      <c r="D453" s="1"/>
      <c r="E453" s="1"/>
      <c r="F453" s="1"/>
      <c r="G453" s="1"/>
      <c r="H453" s="1"/>
      <c r="I453" s="1"/>
      <c r="J453" s="1"/>
      <c r="K453" s="1"/>
      <c r="L453" s="1"/>
      <c r="M453" s="1"/>
      <c r="N453" s="1"/>
      <c r="O453" s="1"/>
      <c r="P453" s="1"/>
      <c r="Q453" s="1"/>
      <c r="R453" s="1"/>
      <c r="S453" s="1"/>
      <c r="T453" s="1"/>
      <c r="U453" s="1"/>
    </row>
    <row r="454" spans="1:21" ht="15.75" customHeight="1">
      <c r="A454" s="1"/>
      <c r="B454" s="1"/>
      <c r="C454" s="1"/>
      <c r="D454" s="1"/>
      <c r="E454" s="1"/>
      <c r="F454" s="1"/>
      <c r="G454" s="1"/>
      <c r="H454" s="1"/>
      <c r="I454" s="1"/>
      <c r="J454" s="1"/>
      <c r="K454" s="1"/>
      <c r="L454" s="1"/>
      <c r="M454" s="1"/>
      <c r="N454" s="1"/>
      <c r="O454" s="1"/>
      <c r="P454" s="1"/>
      <c r="Q454" s="1"/>
      <c r="R454" s="1"/>
      <c r="S454" s="1"/>
      <c r="T454" s="1"/>
      <c r="U454" s="1"/>
    </row>
    <row r="455" spans="1:21" ht="15.75" customHeight="1">
      <c r="A455" s="1"/>
      <c r="B455" s="1"/>
      <c r="C455" s="1"/>
      <c r="D455" s="1"/>
      <c r="E455" s="1"/>
      <c r="F455" s="1"/>
      <c r="G455" s="1"/>
      <c r="H455" s="1"/>
      <c r="I455" s="1"/>
      <c r="J455" s="1"/>
      <c r="K455" s="1"/>
      <c r="L455" s="1"/>
      <c r="M455" s="1"/>
      <c r="N455" s="1"/>
      <c r="O455" s="1"/>
      <c r="P455" s="1"/>
      <c r="Q455" s="1"/>
      <c r="R455" s="1"/>
      <c r="S455" s="1"/>
      <c r="T455" s="1"/>
      <c r="U455" s="1"/>
    </row>
    <row r="456" spans="1:21" ht="15.75" customHeight="1">
      <c r="A456" s="1"/>
      <c r="B456" s="1"/>
      <c r="C456" s="1"/>
      <c r="D456" s="1"/>
      <c r="E456" s="1"/>
      <c r="F456" s="1"/>
      <c r="G456" s="1"/>
      <c r="H456" s="1"/>
      <c r="I456" s="1"/>
      <c r="J456" s="1"/>
      <c r="K456" s="1"/>
      <c r="L456" s="1"/>
      <c r="M456" s="1"/>
      <c r="N456" s="1"/>
      <c r="O456" s="1"/>
      <c r="P456" s="1"/>
      <c r="Q456" s="1"/>
      <c r="R456" s="1"/>
      <c r="S456" s="1"/>
      <c r="T456" s="1"/>
      <c r="U456" s="1"/>
    </row>
    <row r="457" spans="1:21" ht="15.75" customHeight="1">
      <c r="A457" s="1"/>
      <c r="B457" s="1"/>
      <c r="C457" s="1"/>
      <c r="D457" s="1"/>
      <c r="E457" s="1"/>
      <c r="F457" s="1"/>
      <c r="G457" s="1"/>
      <c r="H457" s="1"/>
      <c r="I457" s="1"/>
      <c r="J457" s="1"/>
      <c r="K457" s="1"/>
      <c r="L457" s="1"/>
      <c r="M457" s="1"/>
      <c r="N457" s="1"/>
      <c r="O457" s="1"/>
      <c r="P457" s="1"/>
      <c r="Q457" s="1"/>
      <c r="R457" s="1"/>
      <c r="S457" s="1"/>
      <c r="T457" s="1"/>
      <c r="U457" s="1"/>
    </row>
    <row r="458" spans="1:21" ht="15.75" customHeight="1">
      <c r="A458" s="1"/>
      <c r="B458" s="1"/>
      <c r="C458" s="1"/>
      <c r="D458" s="1"/>
      <c r="E458" s="1"/>
      <c r="F458" s="1"/>
      <c r="G458" s="1"/>
      <c r="H458" s="1"/>
      <c r="I458" s="1"/>
      <c r="J458" s="1"/>
      <c r="K458" s="1"/>
      <c r="L458" s="1"/>
      <c r="M458" s="1"/>
      <c r="N458" s="1"/>
      <c r="O458" s="1"/>
      <c r="P458" s="1"/>
      <c r="Q458" s="1"/>
      <c r="R458" s="1"/>
      <c r="S458" s="1"/>
      <c r="T458" s="1"/>
      <c r="U458" s="1"/>
    </row>
    <row r="459" spans="1:21" ht="15.75" customHeight="1">
      <c r="A459" s="1"/>
      <c r="B459" s="1"/>
      <c r="C459" s="1"/>
      <c r="D459" s="1"/>
      <c r="E459" s="1"/>
      <c r="F459" s="1"/>
      <c r="G459" s="1"/>
      <c r="H459" s="1"/>
      <c r="I459" s="1"/>
      <c r="J459" s="1"/>
      <c r="K459" s="1"/>
      <c r="L459" s="1"/>
      <c r="M459" s="1"/>
      <c r="N459" s="1"/>
      <c r="O459" s="1"/>
      <c r="P459" s="1"/>
      <c r="Q459" s="1"/>
      <c r="R459" s="1"/>
      <c r="S459" s="1"/>
      <c r="T459" s="1"/>
      <c r="U459" s="1"/>
    </row>
    <row r="460" spans="1:21" ht="15.75" customHeight="1">
      <c r="A460" s="1"/>
      <c r="B460" s="1"/>
      <c r="C460" s="1"/>
      <c r="D460" s="1"/>
      <c r="E460" s="1"/>
      <c r="F460" s="1"/>
      <c r="G460" s="1"/>
      <c r="H460" s="1"/>
      <c r="I460" s="1"/>
      <c r="J460" s="1"/>
      <c r="K460" s="1"/>
      <c r="L460" s="1"/>
      <c r="M460" s="1"/>
      <c r="N460" s="1"/>
      <c r="O460" s="1"/>
      <c r="P460" s="1"/>
      <c r="Q460" s="1"/>
      <c r="R460" s="1"/>
      <c r="S460" s="1"/>
      <c r="T460" s="1"/>
      <c r="U460" s="1"/>
    </row>
    <row r="461" spans="1:21" ht="15.75" customHeight="1">
      <c r="A461" s="1"/>
      <c r="B461" s="1"/>
      <c r="C461" s="1"/>
      <c r="D461" s="1"/>
      <c r="E461" s="1"/>
      <c r="F461" s="1"/>
      <c r="G461" s="1"/>
      <c r="H461" s="1"/>
      <c r="I461" s="1"/>
      <c r="J461" s="1"/>
      <c r="K461" s="1"/>
      <c r="L461" s="1"/>
      <c r="M461" s="1"/>
      <c r="N461" s="1"/>
      <c r="O461" s="1"/>
      <c r="P461" s="1"/>
      <c r="Q461" s="1"/>
      <c r="R461" s="1"/>
      <c r="S461" s="1"/>
      <c r="T461" s="1"/>
      <c r="U461" s="1"/>
    </row>
    <row r="462" spans="1:21" ht="15.75" customHeight="1">
      <c r="A462" s="1"/>
      <c r="B462" s="1"/>
      <c r="C462" s="1"/>
      <c r="D462" s="1"/>
      <c r="E462" s="1"/>
      <c r="F462" s="1"/>
      <c r="G462" s="1"/>
      <c r="H462" s="1"/>
      <c r="I462" s="1"/>
      <c r="J462" s="1"/>
      <c r="K462" s="1"/>
      <c r="L462" s="1"/>
      <c r="M462" s="1"/>
      <c r="N462" s="1"/>
      <c r="O462" s="1"/>
      <c r="P462" s="1"/>
      <c r="Q462" s="1"/>
      <c r="R462" s="1"/>
      <c r="S462" s="1"/>
      <c r="T462" s="1"/>
      <c r="U462" s="1"/>
    </row>
    <row r="463" spans="1:21" ht="15.75" customHeight="1">
      <c r="A463" s="1"/>
      <c r="B463" s="1"/>
      <c r="C463" s="1"/>
      <c r="D463" s="1"/>
      <c r="E463" s="1"/>
      <c r="F463" s="1"/>
      <c r="G463" s="1"/>
      <c r="H463" s="1"/>
      <c r="I463" s="1"/>
      <c r="J463" s="1"/>
      <c r="K463" s="1"/>
      <c r="L463" s="1"/>
      <c r="M463" s="1"/>
      <c r="N463" s="1"/>
      <c r="O463" s="1"/>
      <c r="P463" s="1"/>
      <c r="Q463" s="1"/>
      <c r="R463" s="1"/>
      <c r="S463" s="1"/>
      <c r="T463" s="1"/>
      <c r="U463" s="1"/>
    </row>
    <row r="464" spans="1:21" ht="15.75" customHeight="1">
      <c r="A464" s="1"/>
      <c r="B464" s="1"/>
      <c r="C464" s="1"/>
      <c r="D464" s="1"/>
      <c r="E464" s="1"/>
      <c r="F464" s="1"/>
      <c r="G464" s="1"/>
      <c r="H464" s="1"/>
      <c r="I464" s="1"/>
      <c r="J464" s="1"/>
      <c r="K464" s="1"/>
      <c r="L464" s="1"/>
      <c r="M464" s="1"/>
      <c r="N464" s="1"/>
      <c r="O464" s="1"/>
      <c r="P464" s="1"/>
      <c r="Q464" s="1"/>
      <c r="R464" s="1"/>
      <c r="S464" s="1"/>
      <c r="T464" s="1"/>
      <c r="U464" s="1"/>
    </row>
    <row r="465" spans="1:21" ht="15.75" customHeight="1">
      <c r="A465" s="1"/>
      <c r="B465" s="1"/>
      <c r="C465" s="1"/>
      <c r="D465" s="1"/>
      <c r="E465" s="1"/>
      <c r="F465" s="1"/>
      <c r="G465" s="1"/>
      <c r="H465" s="1"/>
      <c r="I465" s="1"/>
      <c r="J465" s="1"/>
      <c r="K465" s="1"/>
      <c r="L465" s="1"/>
      <c r="M465" s="1"/>
      <c r="N465" s="1"/>
      <c r="O465" s="1"/>
      <c r="P465" s="1"/>
      <c r="Q465" s="1"/>
      <c r="R465" s="1"/>
      <c r="S465" s="1"/>
      <c r="T465" s="1"/>
      <c r="U465" s="1"/>
    </row>
    <row r="466" spans="1:21" ht="15.75" customHeight="1">
      <c r="A466" s="1"/>
      <c r="B466" s="1"/>
      <c r="C466" s="1"/>
      <c r="D466" s="1"/>
      <c r="E466" s="1"/>
      <c r="F466" s="1"/>
      <c r="G466" s="1"/>
      <c r="H466" s="1"/>
      <c r="I466" s="1"/>
      <c r="J466" s="1"/>
      <c r="K466" s="1"/>
      <c r="L466" s="1"/>
      <c r="M466" s="1"/>
      <c r="N466" s="1"/>
      <c r="O466" s="1"/>
      <c r="P466" s="1"/>
      <c r="Q466" s="1"/>
      <c r="R466" s="1"/>
      <c r="S466" s="1"/>
      <c r="T466" s="1"/>
      <c r="U466" s="1"/>
    </row>
    <row r="467" spans="1:21" ht="15.75" customHeight="1">
      <c r="A467" s="1"/>
      <c r="B467" s="1"/>
      <c r="C467" s="1"/>
      <c r="D467" s="1"/>
      <c r="E467" s="1"/>
      <c r="F467" s="1"/>
      <c r="G467" s="1"/>
      <c r="H467" s="1"/>
      <c r="I467" s="1"/>
      <c r="J467" s="1"/>
      <c r="K467" s="1"/>
      <c r="L467" s="1"/>
      <c r="M467" s="1"/>
      <c r="N467" s="1"/>
      <c r="O467" s="1"/>
      <c r="P467" s="1"/>
      <c r="Q467" s="1"/>
      <c r="R467" s="1"/>
      <c r="S467" s="1"/>
      <c r="T467" s="1"/>
      <c r="U467" s="1"/>
    </row>
    <row r="468" spans="1:21" ht="15.75" customHeight="1">
      <c r="A468" s="1"/>
      <c r="B468" s="1"/>
      <c r="C468" s="1"/>
      <c r="D468" s="1"/>
      <c r="E468" s="1"/>
      <c r="F468" s="1"/>
      <c r="G468" s="1"/>
      <c r="H468" s="1"/>
      <c r="I468" s="1"/>
      <c r="J468" s="1"/>
      <c r="K468" s="1"/>
      <c r="L468" s="1"/>
      <c r="M468" s="1"/>
      <c r="N468" s="1"/>
      <c r="O468" s="1"/>
      <c r="P468" s="1"/>
      <c r="Q468" s="1"/>
      <c r="R468" s="1"/>
      <c r="S468" s="1"/>
      <c r="T468" s="1"/>
      <c r="U468" s="1"/>
    </row>
    <row r="469" spans="1:21" ht="15.75" customHeight="1">
      <c r="A469" s="1"/>
      <c r="B469" s="1"/>
      <c r="C469" s="1"/>
      <c r="D469" s="1"/>
      <c r="E469" s="1"/>
      <c r="F469" s="1"/>
      <c r="G469" s="1"/>
      <c r="H469" s="1"/>
      <c r="I469" s="1"/>
      <c r="J469" s="1"/>
      <c r="K469" s="1"/>
      <c r="L469" s="1"/>
      <c r="M469" s="1"/>
      <c r="N469" s="1"/>
      <c r="O469" s="1"/>
      <c r="P469" s="1"/>
      <c r="Q469" s="1"/>
      <c r="R469" s="1"/>
      <c r="S469" s="1"/>
      <c r="T469" s="1"/>
      <c r="U469" s="1"/>
    </row>
    <row r="470" spans="1:21" ht="15.75" customHeight="1">
      <c r="A470" s="1"/>
      <c r="B470" s="1"/>
      <c r="C470" s="1"/>
      <c r="D470" s="1"/>
      <c r="E470" s="1"/>
      <c r="F470" s="1"/>
      <c r="G470" s="1"/>
      <c r="H470" s="1"/>
      <c r="I470" s="1"/>
      <c r="J470" s="1"/>
      <c r="K470" s="1"/>
      <c r="L470" s="1"/>
      <c r="M470" s="1"/>
      <c r="N470" s="1"/>
      <c r="O470" s="1"/>
      <c r="P470" s="1"/>
      <c r="Q470" s="1"/>
      <c r="R470" s="1"/>
      <c r="S470" s="1"/>
      <c r="T470" s="1"/>
      <c r="U470" s="1"/>
    </row>
    <row r="471" spans="1:21" ht="15.75" customHeight="1">
      <c r="A471" s="1"/>
      <c r="B471" s="1"/>
      <c r="C471" s="1"/>
      <c r="D471" s="1"/>
      <c r="E471" s="1"/>
      <c r="F471" s="1"/>
      <c r="G471" s="1"/>
      <c r="H471" s="1"/>
      <c r="I471" s="1"/>
      <c r="J471" s="1"/>
      <c r="K471" s="1"/>
      <c r="L471" s="1"/>
      <c r="M471" s="1"/>
      <c r="N471" s="1"/>
      <c r="O471" s="1"/>
      <c r="P471" s="1"/>
      <c r="Q471" s="1"/>
      <c r="R471" s="1"/>
      <c r="S471" s="1"/>
      <c r="T471" s="1"/>
      <c r="U471" s="1"/>
    </row>
    <row r="472" spans="1:21" ht="15.75" customHeight="1">
      <c r="A472" s="1"/>
      <c r="B472" s="1"/>
      <c r="C472" s="1"/>
      <c r="D472" s="1"/>
      <c r="E472" s="1"/>
      <c r="F472" s="1"/>
      <c r="G472" s="1"/>
      <c r="H472" s="1"/>
      <c r="I472" s="1"/>
      <c r="J472" s="1"/>
      <c r="K472" s="1"/>
      <c r="L472" s="1"/>
      <c r="M472" s="1"/>
      <c r="N472" s="1"/>
      <c r="O472" s="1"/>
      <c r="P472" s="1"/>
      <c r="Q472" s="1"/>
      <c r="R472" s="1"/>
      <c r="S472" s="1"/>
      <c r="T472" s="1"/>
      <c r="U472" s="1"/>
    </row>
    <row r="473" spans="1:21" ht="15.75" customHeight="1">
      <c r="A473" s="1"/>
      <c r="B473" s="1"/>
      <c r="C473" s="1"/>
      <c r="D473" s="1"/>
      <c r="E473" s="1"/>
      <c r="F473" s="1"/>
      <c r="G473" s="1"/>
      <c r="H473" s="1"/>
      <c r="I473" s="1"/>
      <c r="J473" s="1"/>
      <c r="K473" s="1"/>
      <c r="L473" s="1"/>
      <c r="M473" s="1"/>
      <c r="N473" s="1"/>
      <c r="O473" s="1"/>
      <c r="P473" s="1"/>
      <c r="Q473" s="1"/>
      <c r="R473" s="1"/>
      <c r="S473" s="1"/>
      <c r="T473" s="1"/>
      <c r="U473" s="1"/>
    </row>
    <row r="474" spans="1:21" ht="15.75" customHeight="1">
      <c r="A474" s="1"/>
      <c r="B474" s="1"/>
      <c r="C474" s="1"/>
      <c r="D474" s="1"/>
      <c r="E474" s="1"/>
      <c r="F474" s="1"/>
      <c r="G474" s="1"/>
      <c r="H474" s="1"/>
      <c r="I474" s="1"/>
      <c r="J474" s="1"/>
      <c r="K474" s="1"/>
      <c r="L474" s="1"/>
      <c r="M474" s="1"/>
      <c r="N474" s="1"/>
      <c r="O474" s="1"/>
      <c r="P474" s="1"/>
      <c r="Q474" s="1"/>
      <c r="R474" s="1"/>
      <c r="S474" s="1"/>
      <c r="T474" s="1"/>
      <c r="U474" s="1"/>
    </row>
    <row r="475" spans="1:21" ht="15.75" customHeight="1">
      <c r="A475" s="1"/>
      <c r="B475" s="1"/>
      <c r="C475" s="1"/>
      <c r="D475" s="1"/>
      <c r="E475" s="1"/>
      <c r="F475" s="1"/>
      <c r="G475" s="1"/>
      <c r="H475" s="1"/>
      <c r="I475" s="1"/>
      <c r="J475" s="1"/>
      <c r="K475" s="1"/>
      <c r="L475" s="1"/>
      <c r="M475" s="1"/>
      <c r="N475" s="1"/>
      <c r="O475" s="1"/>
      <c r="P475" s="1"/>
      <c r="Q475" s="1"/>
      <c r="R475" s="1"/>
      <c r="S475" s="1"/>
      <c r="T475" s="1"/>
      <c r="U475" s="1"/>
    </row>
    <row r="476" spans="1:21" ht="15.75" customHeight="1">
      <c r="A476" s="1"/>
      <c r="B476" s="1"/>
      <c r="C476" s="1"/>
      <c r="D476" s="1"/>
      <c r="E476" s="1"/>
      <c r="F476" s="1"/>
      <c r="G476" s="1"/>
      <c r="H476" s="1"/>
      <c r="I476" s="1"/>
      <c r="J476" s="1"/>
      <c r="K476" s="1"/>
      <c r="L476" s="1"/>
      <c r="M476" s="1"/>
      <c r="N476" s="1"/>
      <c r="O476" s="1"/>
      <c r="P476" s="1"/>
      <c r="Q476" s="1"/>
      <c r="R476" s="1"/>
      <c r="S476" s="1"/>
      <c r="T476" s="1"/>
      <c r="U476" s="1"/>
    </row>
    <row r="477" spans="1:21" ht="15.75" customHeight="1">
      <c r="A477" s="1"/>
      <c r="B477" s="1"/>
      <c r="C477" s="1"/>
      <c r="D477" s="1"/>
      <c r="E477" s="1"/>
      <c r="F477" s="1"/>
      <c r="G477" s="1"/>
      <c r="H477" s="1"/>
      <c r="I477" s="1"/>
      <c r="J477" s="1"/>
      <c r="K477" s="1"/>
      <c r="L477" s="1"/>
      <c r="M477" s="1"/>
      <c r="N477" s="1"/>
      <c r="O477" s="1"/>
      <c r="P477" s="1"/>
      <c r="Q477" s="1"/>
      <c r="R477" s="1"/>
      <c r="S477" s="1"/>
      <c r="T477" s="1"/>
      <c r="U477" s="1"/>
    </row>
    <row r="478" spans="1:21" ht="15.75" customHeight="1">
      <c r="A478" s="1"/>
      <c r="B478" s="1"/>
      <c r="C478" s="1"/>
      <c r="D478" s="1"/>
      <c r="E478" s="1"/>
      <c r="F478" s="1"/>
      <c r="G478" s="1"/>
      <c r="H478" s="1"/>
      <c r="I478" s="1"/>
      <c r="J478" s="1"/>
      <c r="K478" s="1"/>
      <c r="L478" s="1"/>
      <c r="M478" s="1"/>
      <c r="N478" s="1"/>
      <c r="O478" s="1"/>
      <c r="P478" s="1"/>
      <c r="Q478" s="1"/>
      <c r="R478" s="1"/>
      <c r="S478" s="1"/>
      <c r="T478" s="1"/>
      <c r="U478" s="1"/>
    </row>
    <row r="479" spans="1:21" ht="15.75" customHeight="1">
      <c r="A479" s="1"/>
      <c r="B479" s="1"/>
      <c r="C479" s="1"/>
      <c r="D479" s="1"/>
      <c r="E479" s="1"/>
      <c r="F479" s="1"/>
      <c r="G479" s="1"/>
      <c r="H479" s="1"/>
      <c r="I479" s="1"/>
      <c r="J479" s="1"/>
      <c r="K479" s="1"/>
      <c r="L479" s="1"/>
      <c r="M479" s="1"/>
      <c r="N479" s="1"/>
      <c r="O479" s="1"/>
      <c r="P479" s="1"/>
      <c r="Q479" s="1"/>
      <c r="R479" s="1"/>
      <c r="S479" s="1"/>
      <c r="T479" s="1"/>
      <c r="U479" s="1"/>
    </row>
    <row r="480" spans="1:21" ht="15.75" customHeight="1">
      <c r="A480" s="1"/>
      <c r="B480" s="1"/>
      <c r="C480" s="1"/>
      <c r="D480" s="1"/>
      <c r="E480" s="1"/>
      <c r="F480" s="1"/>
      <c r="G480" s="1"/>
      <c r="H480" s="1"/>
      <c r="I480" s="1"/>
      <c r="J480" s="1"/>
      <c r="K480" s="1"/>
      <c r="L480" s="1"/>
      <c r="M480" s="1"/>
      <c r="N480" s="1"/>
      <c r="O480" s="1"/>
      <c r="P480" s="1"/>
      <c r="Q480" s="1"/>
      <c r="R480" s="1"/>
      <c r="S480" s="1"/>
      <c r="T480" s="1"/>
      <c r="U480" s="1"/>
    </row>
    <row r="481" spans="1:21" ht="15.75" customHeight="1">
      <c r="A481" s="1"/>
      <c r="B481" s="1"/>
      <c r="C481" s="1"/>
      <c r="D481" s="1"/>
      <c r="E481" s="1"/>
      <c r="F481" s="1"/>
      <c r="G481" s="1"/>
      <c r="H481" s="1"/>
      <c r="I481" s="1"/>
      <c r="J481" s="1"/>
      <c r="K481" s="1"/>
      <c r="L481" s="1"/>
      <c r="M481" s="1"/>
      <c r="N481" s="1"/>
      <c r="O481" s="1"/>
      <c r="P481" s="1"/>
      <c r="Q481" s="1"/>
      <c r="R481" s="1"/>
      <c r="S481" s="1"/>
      <c r="T481" s="1"/>
      <c r="U481" s="1"/>
    </row>
    <row r="482" spans="1:21" ht="15.75" customHeight="1">
      <c r="A482" s="1"/>
      <c r="B482" s="1"/>
      <c r="C482" s="1"/>
      <c r="D482" s="1"/>
      <c r="E482" s="1"/>
      <c r="F482" s="1"/>
      <c r="G482" s="1"/>
      <c r="H482" s="1"/>
      <c r="I482" s="1"/>
      <c r="J482" s="1"/>
      <c r="K482" s="1"/>
      <c r="L482" s="1"/>
      <c r="M482" s="1"/>
      <c r="N482" s="1"/>
      <c r="O482" s="1"/>
      <c r="P482" s="1"/>
      <c r="Q482" s="1"/>
      <c r="R482" s="1"/>
      <c r="S482" s="1"/>
      <c r="T482" s="1"/>
      <c r="U482" s="1"/>
    </row>
    <row r="483" spans="1:21" ht="15.75" customHeight="1">
      <c r="A483" s="1"/>
      <c r="B483" s="1"/>
      <c r="C483" s="1"/>
      <c r="D483" s="1"/>
      <c r="E483" s="1"/>
      <c r="F483" s="1"/>
      <c r="G483" s="1"/>
      <c r="H483" s="1"/>
      <c r="I483" s="1"/>
      <c r="J483" s="1"/>
      <c r="K483" s="1"/>
      <c r="L483" s="1"/>
      <c r="M483" s="1"/>
      <c r="N483" s="1"/>
      <c r="O483" s="1"/>
      <c r="P483" s="1"/>
      <c r="Q483" s="1"/>
      <c r="R483" s="1"/>
      <c r="S483" s="1"/>
      <c r="T483" s="1"/>
      <c r="U483" s="1"/>
    </row>
    <row r="484" spans="1:21" ht="15.75" customHeight="1">
      <c r="A484" s="1"/>
      <c r="B484" s="1"/>
      <c r="C484" s="1"/>
      <c r="D484" s="1"/>
      <c r="E484" s="1"/>
      <c r="F484" s="1"/>
      <c r="G484" s="1"/>
      <c r="H484" s="1"/>
      <c r="I484" s="1"/>
      <c r="J484" s="1"/>
      <c r="K484" s="1"/>
      <c r="L484" s="1"/>
      <c r="M484" s="1"/>
      <c r="N484" s="1"/>
      <c r="O484" s="1"/>
      <c r="P484" s="1"/>
      <c r="Q484" s="1"/>
      <c r="R484" s="1"/>
      <c r="S484" s="1"/>
      <c r="T484" s="1"/>
      <c r="U484" s="1"/>
    </row>
    <row r="485" spans="1:21" ht="15.75" customHeight="1">
      <c r="A485" s="1"/>
      <c r="B485" s="1"/>
      <c r="C485" s="1"/>
      <c r="D485" s="1"/>
      <c r="E485" s="1"/>
      <c r="F485" s="1"/>
      <c r="G485" s="1"/>
      <c r="H485" s="1"/>
      <c r="I485" s="1"/>
      <c r="J485" s="1"/>
      <c r="K485" s="1"/>
      <c r="L485" s="1"/>
      <c r="M485" s="1"/>
      <c r="N485" s="1"/>
      <c r="O485" s="1"/>
      <c r="P485" s="1"/>
      <c r="Q485" s="1"/>
      <c r="R485" s="1"/>
      <c r="S485" s="1"/>
      <c r="T485" s="1"/>
      <c r="U485" s="1"/>
    </row>
    <row r="486" spans="1:21" ht="15.75" customHeight="1">
      <c r="A486" s="1"/>
      <c r="B486" s="1"/>
      <c r="C486" s="1"/>
      <c r="D486" s="1"/>
      <c r="E486" s="1"/>
      <c r="F486" s="1"/>
      <c r="G486" s="1"/>
      <c r="H486" s="1"/>
      <c r="I486" s="1"/>
      <c r="J486" s="1"/>
      <c r="K486" s="1"/>
      <c r="L486" s="1"/>
      <c r="M486" s="1"/>
      <c r="N486" s="1"/>
      <c r="O486" s="1"/>
      <c r="P486" s="1"/>
      <c r="Q486" s="1"/>
      <c r="R486" s="1"/>
      <c r="S486" s="1"/>
      <c r="T486" s="1"/>
      <c r="U486" s="1"/>
    </row>
    <row r="487" spans="1:21" ht="15.75" customHeight="1">
      <c r="A487" s="1"/>
      <c r="B487" s="1"/>
      <c r="C487" s="1"/>
      <c r="D487" s="1"/>
      <c r="E487" s="1"/>
      <c r="F487" s="1"/>
      <c r="G487" s="1"/>
      <c r="H487" s="1"/>
      <c r="I487" s="1"/>
      <c r="J487" s="1"/>
      <c r="K487" s="1"/>
      <c r="L487" s="1"/>
      <c r="M487" s="1"/>
      <c r="N487" s="1"/>
      <c r="O487" s="1"/>
      <c r="P487" s="1"/>
      <c r="Q487" s="1"/>
      <c r="R487" s="1"/>
      <c r="S487" s="1"/>
      <c r="T487" s="1"/>
      <c r="U487" s="1"/>
    </row>
    <row r="488" spans="1:21" ht="15.75" customHeight="1">
      <c r="A488" s="1"/>
      <c r="B488" s="1"/>
      <c r="C488" s="1"/>
      <c r="D488" s="1"/>
      <c r="E488" s="1"/>
      <c r="F488" s="1"/>
      <c r="G488" s="1"/>
      <c r="H488" s="1"/>
      <c r="I488" s="1"/>
      <c r="J488" s="1"/>
      <c r="K488" s="1"/>
      <c r="L488" s="1"/>
      <c r="M488" s="1"/>
      <c r="N488" s="1"/>
      <c r="O488" s="1"/>
      <c r="P488" s="1"/>
      <c r="Q488" s="1"/>
      <c r="R488" s="1"/>
      <c r="S488" s="1"/>
      <c r="T488" s="1"/>
      <c r="U488" s="1"/>
    </row>
    <row r="489" spans="1:21" ht="15.75" customHeight="1">
      <c r="A489" s="1"/>
      <c r="B489" s="1"/>
      <c r="C489" s="1"/>
      <c r="D489" s="1"/>
      <c r="E489" s="1"/>
      <c r="F489" s="1"/>
      <c r="G489" s="1"/>
      <c r="H489" s="1"/>
      <c r="I489" s="1"/>
      <c r="J489" s="1"/>
      <c r="K489" s="1"/>
      <c r="L489" s="1"/>
      <c r="M489" s="1"/>
      <c r="N489" s="1"/>
      <c r="O489" s="1"/>
      <c r="P489" s="1"/>
      <c r="Q489" s="1"/>
      <c r="R489" s="1"/>
      <c r="S489" s="1"/>
      <c r="T489" s="1"/>
      <c r="U489" s="1"/>
    </row>
    <row r="490" spans="1:21" ht="15.75" customHeight="1">
      <c r="A490" s="1"/>
      <c r="B490" s="1"/>
      <c r="C490" s="1"/>
      <c r="D490" s="1"/>
      <c r="E490" s="1"/>
      <c r="F490" s="1"/>
      <c r="G490" s="1"/>
      <c r="H490" s="1"/>
      <c r="I490" s="1"/>
      <c r="J490" s="1"/>
      <c r="K490" s="1"/>
      <c r="L490" s="1"/>
      <c r="M490" s="1"/>
      <c r="N490" s="1"/>
      <c r="O490" s="1"/>
      <c r="P490" s="1"/>
      <c r="Q490" s="1"/>
      <c r="R490" s="1"/>
      <c r="S490" s="1"/>
      <c r="T490" s="1"/>
      <c r="U490" s="1"/>
    </row>
    <row r="491" spans="1:21" ht="15.75" customHeight="1">
      <c r="A491" s="1"/>
      <c r="B491" s="1"/>
      <c r="C491" s="1"/>
      <c r="D491" s="1"/>
      <c r="E491" s="1"/>
      <c r="F491" s="1"/>
      <c r="G491" s="1"/>
      <c r="H491" s="1"/>
      <c r="I491" s="1"/>
      <c r="J491" s="1"/>
      <c r="K491" s="1"/>
      <c r="L491" s="1"/>
      <c r="M491" s="1"/>
      <c r="N491" s="1"/>
      <c r="O491" s="1"/>
      <c r="P491" s="1"/>
      <c r="Q491" s="1"/>
      <c r="R491" s="1"/>
      <c r="S491" s="1"/>
      <c r="T491" s="1"/>
      <c r="U491" s="1"/>
    </row>
    <row r="492" spans="1:21" ht="15.75" customHeight="1">
      <c r="A492" s="1"/>
      <c r="B492" s="1"/>
      <c r="C492" s="1"/>
      <c r="D492" s="1"/>
      <c r="E492" s="1"/>
      <c r="F492" s="1"/>
      <c r="G492" s="1"/>
      <c r="H492" s="1"/>
      <c r="I492" s="1"/>
      <c r="J492" s="1"/>
      <c r="K492" s="1"/>
      <c r="L492" s="1"/>
      <c r="M492" s="1"/>
      <c r="N492" s="1"/>
      <c r="O492" s="1"/>
      <c r="P492" s="1"/>
      <c r="Q492" s="1"/>
      <c r="R492" s="1"/>
      <c r="S492" s="1"/>
      <c r="T492" s="1"/>
      <c r="U492" s="1"/>
    </row>
    <row r="493" spans="1:21" ht="15.75" customHeight="1">
      <c r="A493" s="1"/>
      <c r="B493" s="1"/>
      <c r="C493" s="1"/>
      <c r="D493" s="1"/>
      <c r="E493" s="1"/>
      <c r="F493" s="1"/>
      <c r="G493" s="1"/>
      <c r="H493" s="1"/>
      <c r="I493" s="1"/>
      <c r="J493" s="1"/>
      <c r="K493" s="1"/>
      <c r="L493" s="1"/>
      <c r="M493" s="1"/>
      <c r="N493" s="1"/>
      <c r="O493" s="1"/>
      <c r="P493" s="1"/>
      <c r="Q493" s="1"/>
      <c r="R493" s="1"/>
      <c r="S493" s="1"/>
      <c r="T493" s="1"/>
      <c r="U493" s="1"/>
    </row>
    <row r="494" spans="1:21" ht="15.75" customHeight="1">
      <c r="A494" s="1"/>
      <c r="B494" s="1"/>
      <c r="C494" s="1"/>
      <c r="D494" s="1"/>
      <c r="E494" s="1"/>
      <c r="F494" s="1"/>
      <c r="G494" s="1"/>
      <c r="H494" s="1"/>
      <c r="I494" s="1"/>
      <c r="J494" s="1"/>
      <c r="K494" s="1"/>
      <c r="L494" s="1"/>
      <c r="M494" s="1"/>
      <c r="N494" s="1"/>
      <c r="O494" s="1"/>
      <c r="P494" s="1"/>
      <c r="Q494" s="1"/>
      <c r="R494" s="1"/>
      <c r="S494" s="1"/>
      <c r="T494" s="1"/>
      <c r="U494" s="1"/>
    </row>
    <row r="495" spans="1:21" ht="15.75" customHeight="1">
      <c r="A495" s="1"/>
      <c r="B495" s="1"/>
      <c r="C495" s="1"/>
      <c r="D495" s="1"/>
      <c r="E495" s="1"/>
      <c r="F495" s="1"/>
      <c r="G495" s="1"/>
      <c r="H495" s="1"/>
      <c r="I495" s="1"/>
      <c r="J495" s="1"/>
      <c r="K495" s="1"/>
      <c r="L495" s="1"/>
      <c r="M495" s="1"/>
      <c r="N495" s="1"/>
      <c r="O495" s="1"/>
      <c r="P495" s="1"/>
      <c r="Q495" s="1"/>
      <c r="R495" s="1"/>
      <c r="S495" s="1"/>
      <c r="T495" s="1"/>
      <c r="U495" s="1"/>
    </row>
    <row r="496" spans="1:21" ht="15.75" customHeight="1">
      <c r="A496" s="1"/>
      <c r="B496" s="1"/>
      <c r="C496" s="1"/>
      <c r="D496" s="1"/>
      <c r="E496" s="1"/>
      <c r="F496" s="1"/>
      <c r="G496" s="1"/>
      <c r="H496" s="1"/>
      <c r="I496" s="1"/>
      <c r="J496" s="1"/>
      <c r="K496" s="1"/>
      <c r="L496" s="1"/>
      <c r="M496" s="1"/>
      <c r="N496" s="1"/>
      <c r="O496" s="1"/>
      <c r="P496" s="1"/>
      <c r="Q496" s="1"/>
      <c r="R496" s="1"/>
      <c r="S496" s="1"/>
      <c r="T496" s="1"/>
      <c r="U496" s="1"/>
    </row>
    <row r="497" spans="1:21" ht="15.75" customHeight="1">
      <c r="A497" s="1"/>
      <c r="B497" s="1"/>
      <c r="C497" s="1"/>
      <c r="D497" s="1"/>
      <c r="E497" s="1"/>
      <c r="F497" s="1"/>
      <c r="G497" s="1"/>
      <c r="H497" s="1"/>
      <c r="I497" s="1"/>
      <c r="J497" s="1"/>
      <c r="K497" s="1"/>
      <c r="L497" s="1"/>
      <c r="M497" s="1"/>
      <c r="N497" s="1"/>
      <c r="O497" s="1"/>
      <c r="P497" s="1"/>
      <c r="Q497" s="1"/>
      <c r="R497" s="1"/>
      <c r="S497" s="1"/>
      <c r="T497" s="1"/>
      <c r="U497" s="1"/>
    </row>
    <row r="498" spans="1:21" ht="15.75" customHeight="1">
      <c r="A498" s="1"/>
      <c r="B498" s="1"/>
      <c r="C498" s="1"/>
      <c r="D498" s="1"/>
      <c r="E498" s="1"/>
      <c r="F498" s="1"/>
      <c r="G498" s="1"/>
      <c r="H498" s="1"/>
      <c r="I498" s="1"/>
      <c r="J498" s="1"/>
      <c r="K498" s="1"/>
      <c r="L498" s="1"/>
      <c r="M498" s="1"/>
      <c r="N498" s="1"/>
      <c r="O498" s="1"/>
      <c r="P498" s="1"/>
      <c r="Q498" s="1"/>
      <c r="R498" s="1"/>
      <c r="S498" s="1"/>
      <c r="T498" s="1"/>
      <c r="U498" s="1"/>
    </row>
    <row r="499" spans="1:21" ht="15.75" customHeight="1">
      <c r="A499" s="1"/>
      <c r="B499" s="1"/>
      <c r="C499" s="1"/>
      <c r="D499" s="1"/>
      <c r="E499" s="1"/>
      <c r="F499" s="1"/>
      <c r="G499" s="1"/>
      <c r="H499" s="1"/>
      <c r="I499" s="1"/>
      <c r="J499" s="1"/>
      <c r="K499" s="1"/>
      <c r="L499" s="1"/>
      <c r="M499" s="1"/>
      <c r="N499" s="1"/>
      <c r="O499" s="1"/>
      <c r="P499" s="1"/>
      <c r="Q499" s="1"/>
      <c r="R499" s="1"/>
      <c r="S499" s="1"/>
      <c r="T499" s="1"/>
      <c r="U499" s="1"/>
    </row>
    <row r="500" spans="1:21" ht="15.75" customHeight="1">
      <c r="A500" s="1"/>
      <c r="B500" s="1"/>
      <c r="C500" s="1"/>
      <c r="D500" s="1"/>
      <c r="E500" s="1"/>
      <c r="F500" s="1"/>
      <c r="G500" s="1"/>
      <c r="H500" s="1"/>
      <c r="I500" s="1"/>
      <c r="J500" s="1"/>
      <c r="K500" s="1"/>
      <c r="L500" s="1"/>
      <c r="M500" s="1"/>
      <c r="N500" s="1"/>
      <c r="O500" s="1"/>
      <c r="P500" s="1"/>
      <c r="Q500" s="1"/>
      <c r="R500" s="1"/>
      <c r="S500" s="1"/>
      <c r="T500" s="1"/>
      <c r="U500" s="1"/>
    </row>
    <row r="501" spans="1:21" ht="15.75" customHeight="1">
      <c r="A501" s="1"/>
      <c r="B501" s="1"/>
      <c r="C501" s="1"/>
      <c r="D501" s="1"/>
      <c r="E501" s="1"/>
      <c r="F501" s="1"/>
      <c r="G501" s="1"/>
      <c r="H501" s="1"/>
      <c r="I501" s="1"/>
      <c r="J501" s="1"/>
      <c r="K501" s="1"/>
      <c r="L501" s="1"/>
      <c r="M501" s="1"/>
      <c r="N501" s="1"/>
      <c r="O501" s="1"/>
      <c r="P501" s="1"/>
      <c r="Q501" s="1"/>
      <c r="R501" s="1"/>
      <c r="S501" s="1"/>
      <c r="T501" s="1"/>
      <c r="U501" s="1"/>
    </row>
    <row r="502" spans="1:21" ht="15.75" customHeight="1">
      <c r="A502" s="1"/>
      <c r="B502" s="1"/>
      <c r="C502" s="1"/>
      <c r="D502" s="1"/>
      <c r="E502" s="1"/>
      <c r="F502" s="1"/>
      <c r="G502" s="1"/>
      <c r="H502" s="1"/>
      <c r="I502" s="1"/>
      <c r="J502" s="1"/>
      <c r="K502" s="1"/>
      <c r="L502" s="1"/>
      <c r="M502" s="1"/>
      <c r="N502" s="1"/>
      <c r="O502" s="1"/>
      <c r="P502" s="1"/>
      <c r="Q502" s="1"/>
      <c r="R502" s="1"/>
      <c r="S502" s="1"/>
      <c r="T502" s="1"/>
      <c r="U502" s="1"/>
    </row>
    <row r="503" spans="1:21" ht="15.75" customHeight="1"/>
    <row r="504" spans="1:21" ht="15.75" customHeight="1"/>
    <row r="505" spans="1:21" ht="15.75" customHeight="1"/>
    <row r="506" spans="1:21" ht="15.75" customHeight="1"/>
    <row r="507" spans="1:21" ht="15.75" customHeight="1"/>
    <row r="508" spans="1:21" ht="15.75" customHeight="1"/>
    <row r="509" spans="1:21" ht="15.75" customHeight="1"/>
    <row r="510" spans="1:21" ht="15.75" customHeight="1"/>
    <row r="511" spans="1:21" ht="15.75" customHeight="1"/>
    <row r="512" spans="1:21"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301" xr:uid="{00000000-0001-0000-0100-000000000000}"/>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289E2-5307-4A97-9265-58B0F306867D}">
  <dimension ref="A1:S145"/>
  <sheetViews>
    <sheetView workbookViewId="0">
      <selection activeCell="K3" sqref="K3"/>
    </sheetView>
  </sheetViews>
  <sheetFormatPr baseColWidth="10" defaultColWidth="8.83203125" defaultRowHeight="13"/>
  <cols>
    <col min="1" max="1" width="9.5" bestFit="1" customWidth="1"/>
    <col min="2" max="2" width="11.5" bestFit="1" customWidth="1"/>
    <col min="3" max="3" width="9.5" bestFit="1" customWidth="1"/>
    <col min="4" max="4" width="18.5" customWidth="1"/>
    <col min="5" max="5" width="18.1640625" customWidth="1"/>
    <col min="6" max="6" width="19.5" customWidth="1"/>
    <col min="7" max="7" width="18.5" bestFit="1" customWidth="1"/>
    <col min="8" max="8" width="26.83203125" bestFit="1" customWidth="1"/>
    <col min="9" max="9" width="23.5" bestFit="1" customWidth="1"/>
    <col min="10" max="10" width="31.5" customWidth="1"/>
    <col min="11" max="11" width="23.6640625" customWidth="1"/>
    <col min="12" max="12" width="20.1640625" customWidth="1"/>
    <col min="13" max="13" width="24.5" customWidth="1"/>
    <col min="14" max="14" width="20" customWidth="1"/>
    <col min="15" max="15" width="14.6640625" customWidth="1"/>
    <col min="16" max="16" width="28.5" bestFit="1" customWidth="1"/>
    <col min="17" max="17" width="36.5" bestFit="1" customWidth="1"/>
    <col min="18" max="18" width="15.6640625" customWidth="1"/>
    <col min="19" max="19" width="16.5" customWidth="1"/>
  </cols>
  <sheetData>
    <row r="1" spans="1:19" ht="42">
      <c r="A1" s="22" t="s">
        <v>22</v>
      </c>
      <c r="B1" s="19" t="s">
        <v>23</v>
      </c>
      <c r="C1" s="19" t="s">
        <v>24</v>
      </c>
      <c r="D1" s="19" t="s">
        <v>25</v>
      </c>
      <c r="E1" s="19" t="s">
        <v>26</v>
      </c>
      <c r="F1" s="19" t="s">
        <v>27</v>
      </c>
      <c r="G1" s="19" t="s">
        <v>28</v>
      </c>
      <c r="H1" s="19" t="s">
        <v>29</v>
      </c>
      <c r="I1" s="25" t="s">
        <v>30</v>
      </c>
      <c r="J1" s="30" t="s">
        <v>50</v>
      </c>
      <c r="K1" t="s">
        <v>51</v>
      </c>
      <c r="L1" s="20" t="s">
        <v>52</v>
      </c>
      <c r="M1" s="20" t="s">
        <v>37</v>
      </c>
      <c r="N1" s="20" t="s">
        <v>53</v>
      </c>
      <c r="O1" s="20" t="s">
        <v>54</v>
      </c>
      <c r="P1" t="s">
        <v>40</v>
      </c>
      <c r="Q1" t="s">
        <v>55</v>
      </c>
      <c r="R1" s="20" t="s">
        <v>56</v>
      </c>
      <c r="S1" s="20" t="s">
        <v>57</v>
      </c>
    </row>
    <row r="2" spans="1:19">
      <c r="A2" s="23">
        <v>3</v>
      </c>
      <c r="B2" s="11">
        <v>13851</v>
      </c>
      <c r="C2" s="12" t="s">
        <v>32</v>
      </c>
      <c r="D2" s="13">
        <v>44932</v>
      </c>
      <c r="E2" s="13">
        <v>44936</v>
      </c>
      <c r="F2" s="13">
        <v>44941</v>
      </c>
      <c r="G2" s="13">
        <v>44949</v>
      </c>
      <c r="H2" s="13">
        <v>44951</v>
      </c>
      <c r="I2" s="14">
        <f t="shared" ref="I2:I33" si="0">IF(ISBLANK(F2),0,1)</f>
        <v>1</v>
      </c>
      <c r="J2" s="29">
        <f t="shared" ref="J2:J13" si="1">DATEDIF(E2,F2,"d")</f>
        <v>5</v>
      </c>
      <c r="K2">
        <f>COUNT(Table_IL[Patient ID])</f>
        <v>79</v>
      </c>
      <c r="L2">
        <f>SUM(I2:I80)</f>
        <v>71</v>
      </c>
      <c r="M2" s="21">
        <f>L2/K2</f>
        <v>0.89873417721518989</v>
      </c>
      <c r="N2" s="35">
        <f>AVERAGE(Table_IL[[Days Between Initial discharge and PDV ]])</f>
        <v>10.76056338028169</v>
      </c>
      <c r="O2">
        <f>COUNTA(Table_IL[Readmission Date])</f>
        <v>11</v>
      </c>
      <c r="P2" s="36">
        <f>Table_IL[[#This Row],[Average Days Between Initial Discharge and PDV]]/Table_IL[[#This Row],[Count of Admissions]]</f>
        <v>0.13620966304154039</v>
      </c>
      <c r="Q2" s="35">
        <f>COUNTIFS(G2:G80, "&gt;" &amp; 0, I2:I80, 1)</f>
        <v>7</v>
      </c>
      <c r="R2" s="36">
        <f>Table_IL[[#This Row],[Count of Readmissions with PDV ]]/Table_IL[[#This Row],[Count of Readmissions ]]</f>
        <v>0.63636363636363635</v>
      </c>
      <c r="S2" s="36">
        <f>4/Table_IL[[#This Row],[Count of Readmissions ]]</f>
        <v>0.36363636363636365</v>
      </c>
    </row>
    <row r="3" spans="1:19">
      <c r="A3" s="24">
        <v>7</v>
      </c>
      <c r="B3" s="15">
        <v>20341</v>
      </c>
      <c r="C3" s="16" t="s">
        <v>32</v>
      </c>
      <c r="D3" s="17">
        <v>45074</v>
      </c>
      <c r="E3" s="17">
        <v>45077</v>
      </c>
      <c r="F3" s="17">
        <v>45093</v>
      </c>
      <c r="G3" s="16"/>
      <c r="H3" s="16"/>
      <c r="I3" s="18">
        <f t="shared" si="0"/>
        <v>1</v>
      </c>
      <c r="J3" s="29">
        <f t="shared" si="1"/>
        <v>16</v>
      </c>
      <c r="N3" s="31"/>
      <c r="Q3" s="36"/>
      <c r="R3" s="36"/>
      <c r="S3" s="36"/>
    </row>
    <row r="4" spans="1:19">
      <c r="A4" s="23">
        <v>9</v>
      </c>
      <c r="B4" s="11">
        <v>11715</v>
      </c>
      <c r="C4" s="12" t="s">
        <v>32</v>
      </c>
      <c r="D4" s="13">
        <v>44945</v>
      </c>
      <c r="E4" s="13">
        <v>44947</v>
      </c>
      <c r="F4" s="13">
        <v>44970</v>
      </c>
      <c r="G4" s="12"/>
      <c r="H4" s="12"/>
      <c r="I4" s="14">
        <f t="shared" si="0"/>
        <v>1</v>
      </c>
      <c r="J4" s="29">
        <f t="shared" si="1"/>
        <v>23</v>
      </c>
      <c r="N4" s="31"/>
      <c r="Q4" s="36"/>
      <c r="R4" s="36"/>
      <c r="S4" s="36"/>
    </row>
    <row r="5" spans="1:19">
      <c r="A5" s="24">
        <v>10</v>
      </c>
      <c r="B5" s="15">
        <v>16677</v>
      </c>
      <c r="C5" s="16" t="s">
        <v>32</v>
      </c>
      <c r="D5" s="17">
        <v>44929</v>
      </c>
      <c r="E5" s="17">
        <v>44931</v>
      </c>
      <c r="F5" s="17">
        <v>44945</v>
      </c>
      <c r="G5" s="16"/>
      <c r="H5" s="16"/>
      <c r="I5" s="18">
        <f t="shared" si="0"/>
        <v>1</v>
      </c>
      <c r="J5" s="29">
        <f t="shared" si="1"/>
        <v>14</v>
      </c>
      <c r="N5" s="31"/>
      <c r="Q5" s="36"/>
      <c r="R5" s="36"/>
      <c r="S5" s="36"/>
    </row>
    <row r="6" spans="1:19">
      <c r="A6" s="23">
        <v>17</v>
      </c>
      <c r="B6" s="11">
        <v>11317</v>
      </c>
      <c r="C6" s="12" t="s">
        <v>32</v>
      </c>
      <c r="D6" s="13">
        <v>44969</v>
      </c>
      <c r="E6" s="13">
        <v>44970</v>
      </c>
      <c r="F6" s="13">
        <v>44988</v>
      </c>
      <c r="G6" s="12"/>
      <c r="H6" s="12"/>
      <c r="I6" s="14">
        <f t="shared" si="0"/>
        <v>1</v>
      </c>
      <c r="J6" s="29">
        <f t="shared" si="1"/>
        <v>18</v>
      </c>
      <c r="N6" s="31"/>
      <c r="Q6" s="36"/>
      <c r="R6" s="36"/>
      <c r="S6" s="36"/>
    </row>
    <row r="7" spans="1:19">
      <c r="A7" s="24">
        <v>18</v>
      </c>
      <c r="B7" s="15">
        <v>28774</v>
      </c>
      <c r="C7" s="16" t="s">
        <v>32</v>
      </c>
      <c r="D7" s="17">
        <v>45058</v>
      </c>
      <c r="E7" s="17">
        <v>45063</v>
      </c>
      <c r="F7" s="17">
        <v>45063</v>
      </c>
      <c r="G7" s="16"/>
      <c r="H7" s="16"/>
      <c r="I7" s="18">
        <f t="shared" si="0"/>
        <v>1</v>
      </c>
      <c r="J7" s="29">
        <f t="shared" si="1"/>
        <v>0</v>
      </c>
      <c r="N7" s="31"/>
      <c r="Q7" s="36"/>
      <c r="R7" s="36"/>
      <c r="S7" s="36"/>
    </row>
    <row r="8" spans="1:19">
      <c r="A8" s="23">
        <v>21</v>
      </c>
      <c r="B8" s="11">
        <v>16617</v>
      </c>
      <c r="C8" s="12" t="s">
        <v>32</v>
      </c>
      <c r="D8" s="13">
        <v>44939</v>
      </c>
      <c r="E8" s="13">
        <v>44940</v>
      </c>
      <c r="F8" s="13">
        <v>44947</v>
      </c>
      <c r="G8" s="12"/>
      <c r="H8" s="12"/>
      <c r="I8" s="14">
        <f t="shared" si="0"/>
        <v>1</v>
      </c>
      <c r="J8" s="29">
        <f t="shared" si="1"/>
        <v>7</v>
      </c>
      <c r="N8" s="31"/>
      <c r="Q8" s="36"/>
      <c r="R8" s="36"/>
      <c r="S8" s="36"/>
    </row>
    <row r="9" spans="1:19">
      <c r="A9" s="24">
        <v>25</v>
      </c>
      <c r="B9" s="15">
        <v>11502</v>
      </c>
      <c r="C9" s="16" t="s">
        <v>32</v>
      </c>
      <c r="D9" s="17">
        <v>45023</v>
      </c>
      <c r="E9" s="17">
        <v>45023</v>
      </c>
      <c r="F9" s="17">
        <v>45027</v>
      </c>
      <c r="G9" s="16"/>
      <c r="H9" s="16"/>
      <c r="I9" s="18">
        <f t="shared" si="0"/>
        <v>1</v>
      </c>
      <c r="J9" s="29">
        <f t="shared" si="1"/>
        <v>4</v>
      </c>
      <c r="N9" s="31"/>
      <c r="Q9" s="36"/>
      <c r="R9" s="36"/>
      <c r="S9" s="36"/>
    </row>
    <row r="10" spans="1:19">
      <c r="A10" s="23">
        <v>26</v>
      </c>
      <c r="B10" s="11">
        <v>15976</v>
      </c>
      <c r="C10" s="12" t="s">
        <v>32</v>
      </c>
      <c r="D10" s="13">
        <v>44931</v>
      </c>
      <c r="E10" s="13">
        <v>44934</v>
      </c>
      <c r="F10" s="13">
        <v>44955</v>
      </c>
      <c r="G10" s="12"/>
      <c r="H10" s="12"/>
      <c r="I10" s="14">
        <f t="shared" si="0"/>
        <v>1</v>
      </c>
      <c r="J10" s="29">
        <f t="shared" si="1"/>
        <v>21</v>
      </c>
      <c r="N10" s="31"/>
      <c r="Q10" s="36"/>
      <c r="R10" s="36"/>
      <c r="S10" s="36"/>
    </row>
    <row r="11" spans="1:19">
      <c r="A11" s="24">
        <v>28</v>
      </c>
      <c r="B11" s="15">
        <v>22550</v>
      </c>
      <c r="C11" s="16" t="s">
        <v>32</v>
      </c>
      <c r="D11" s="17">
        <v>44986</v>
      </c>
      <c r="E11" s="17">
        <v>44990</v>
      </c>
      <c r="F11" s="17">
        <v>45004</v>
      </c>
      <c r="G11" s="16"/>
      <c r="H11" s="16"/>
      <c r="I11" s="18">
        <f t="shared" si="0"/>
        <v>1</v>
      </c>
      <c r="J11" s="29">
        <f t="shared" si="1"/>
        <v>14</v>
      </c>
      <c r="N11" s="31"/>
      <c r="Q11" s="36"/>
      <c r="R11" s="36"/>
      <c r="S11" s="36"/>
    </row>
    <row r="12" spans="1:19">
      <c r="A12" s="23">
        <v>30</v>
      </c>
      <c r="B12" s="11">
        <v>18794</v>
      </c>
      <c r="C12" s="12" t="s">
        <v>32</v>
      </c>
      <c r="D12" s="13">
        <v>45026</v>
      </c>
      <c r="E12" s="13">
        <v>45027</v>
      </c>
      <c r="F12" s="13">
        <v>45048</v>
      </c>
      <c r="G12" s="12"/>
      <c r="H12" s="12"/>
      <c r="I12" s="14">
        <f t="shared" si="0"/>
        <v>1</v>
      </c>
      <c r="J12" s="29">
        <f t="shared" si="1"/>
        <v>21</v>
      </c>
      <c r="N12" s="31"/>
      <c r="Q12" s="36"/>
      <c r="R12" s="36"/>
      <c r="S12" s="36"/>
    </row>
    <row r="13" spans="1:19">
      <c r="A13" s="24">
        <v>31</v>
      </c>
      <c r="B13" s="15">
        <v>17978</v>
      </c>
      <c r="C13" s="16" t="s">
        <v>32</v>
      </c>
      <c r="D13" s="17">
        <v>44937</v>
      </c>
      <c r="E13" s="17">
        <v>44943</v>
      </c>
      <c r="F13" s="17">
        <v>44943</v>
      </c>
      <c r="G13" s="16"/>
      <c r="H13" s="16"/>
      <c r="I13" s="18">
        <f t="shared" si="0"/>
        <v>1</v>
      </c>
      <c r="J13" s="29">
        <f t="shared" si="1"/>
        <v>0</v>
      </c>
      <c r="N13" s="31"/>
      <c r="Q13" s="36"/>
      <c r="R13" s="36"/>
      <c r="S13" s="36"/>
    </row>
    <row r="14" spans="1:19">
      <c r="A14" s="23">
        <v>33</v>
      </c>
      <c r="B14" s="11">
        <v>28521</v>
      </c>
      <c r="C14" s="12" t="s">
        <v>32</v>
      </c>
      <c r="D14" s="13">
        <v>45070</v>
      </c>
      <c r="E14" s="13">
        <v>45075</v>
      </c>
      <c r="F14" s="12"/>
      <c r="G14" s="13">
        <v>45105</v>
      </c>
      <c r="H14" s="13">
        <v>45111</v>
      </c>
      <c r="I14" s="14">
        <f t="shared" si="0"/>
        <v>0</v>
      </c>
      <c r="J14" s="29" t="s">
        <v>58</v>
      </c>
      <c r="N14" s="31"/>
      <c r="Q14" s="36"/>
      <c r="R14" s="36"/>
      <c r="S14" s="36"/>
    </row>
    <row r="15" spans="1:19">
      <c r="A15" s="24">
        <v>49</v>
      </c>
      <c r="B15" s="15">
        <v>24930</v>
      </c>
      <c r="C15" s="16" t="s">
        <v>32</v>
      </c>
      <c r="D15" s="17">
        <v>44976</v>
      </c>
      <c r="E15" s="17">
        <v>44979</v>
      </c>
      <c r="F15" s="17">
        <v>44988</v>
      </c>
      <c r="G15" s="16"/>
      <c r="H15" s="16"/>
      <c r="I15" s="18">
        <f t="shared" si="0"/>
        <v>1</v>
      </c>
      <c r="J15" s="29">
        <f t="shared" ref="J15:J21" si="2">DATEDIF(E15,F15,"d")</f>
        <v>9</v>
      </c>
      <c r="N15" s="31"/>
      <c r="Q15" s="36"/>
      <c r="R15" s="36"/>
      <c r="S15" s="36"/>
    </row>
    <row r="16" spans="1:19">
      <c r="A16" s="23">
        <v>50</v>
      </c>
      <c r="B16" s="11">
        <v>16645</v>
      </c>
      <c r="C16" s="12" t="s">
        <v>32</v>
      </c>
      <c r="D16" s="13">
        <v>44966</v>
      </c>
      <c r="E16" s="13">
        <v>44966</v>
      </c>
      <c r="F16" s="13">
        <v>44970</v>
      </c>
      <c r="G16" s="12"/>
      <c r="H16" s="12"/>
      <c r="I16" s="14">
        <f t="shared" si="0"/>
        <v>1</v>
      </c>
      <c r="J16" s="29">
        <f t="shared" si="2"/>
        <v>4</v>
      </c>
      <c r="N16" s="31"/>
      <c r="Q16" s="36"/>
      <c r="R16" s="36"/>
      <c r="S16" s="36"/>
    </row>
    <row r="17" spans="1:19">
      <c r="A17" s="24">
        <v>52</v>
      </c>
      <c r="B17" s="15">
        <v>27521</v>
      </c>
      <c r="C17" s="16" t="s">
        <v>32</v>
      </c>
      <c r="D17" s="17">
        <v>45036</v>
      </c>
      <c r="E17" s="17">
        <v>45042</v>
      </c>
      <c r="F17" s="17">
        <v>45050</v>
      </c>
      <c r="G17" s="16"/>
      <c r="H17" s="16"/>
      <c r="I17" s="18">
        <f t="shared" si="0"/>
        <v>1</v>
      </c>
      <c r="J17" s="29">
        <f t="shared" si="2"/>
        <v>8</v>
      </c>
      <c r="N17" s="31"/>
      <c r="Q17" s="36"/>
      <c r="R17" s="36"/>
      <c r="S17" s="36"/>
    </row>
    <row r="18" spans="1:19">
      <c r="A18" s="23">
        <v>55</v>
      </c>
      <c r="B18" s="11">
        <v>10939</v>
      </c>
      <c r="C18" s="12" t="s">
        <v>32</v>
      </c>
      <c r="D18" s="13">
        <v>45056</v>
      </c>
      <c r="E18" s="13">
        <v>45059</v>
      </c>
      <c r="F18" s="13">
        <v>45060</v>
      </c>
      <c r="G18" s="12"/>
      <c r="H18" s="12"/>
      <c r="I18" s="14">
        <f t="shared" si="0"/>
        <v>1</v>
      </c>
      <c r="J18" s="29">
        <f t="shared" si="2"/>
        <v>1</v>
      </c>
      <c r="N18" s="31"/>
      <c r="Q18" s="36"/>
      <c r="R18" s="36"/>
      <c r="S18" s="36"/>
    </row>
    <row r="19" spans="1:19">
      <c r="A19" s="24">
        <v>57</v>
      </c>
      <c r="B19" s="15">
        <v>18734</v>
      </c>
      <c r="C19" s="16" t="s">
        <v>32</v>
      </c>
      <c r="D19" s="17">
        <v>44988</v>
      </c>
      <c r="E19" s="17">
        <v>44988</v>
      </c>
      <c r="F19" s="17">
        <v>45001</v>
      </c>
      <c r="G19" s="16"/>
      <c r="H19" s="16"/>
      <c r="I19" s="18">
        <f t="shared" si="0"/>
        <v>1</v>
      </c>
      <c r="J19" s="29">
        <f t="shared" si="2"/>
        <v>13</v>
      </c>
      <c r="N19" s="31"/>
      <c r="Q19" s="36"/>
      <c r="R19" s="36"/>
      <c r="S19" s="36"/>
    </row>
    <row r="20" spans="1:19">
      <c r="A20" s="23">
        <v>59</v>
      </c>
      <c r="B20" s="11">
        <v>10932</v>
      </c>
      <c r="C20" s="12" t="s">
        <v>32</v>
      </c>
      <c r="D20" s="13">
        <v>45070</v>
      </c>
      <c r="E20" s="13">
        <v>45076</v>
      </c>
      <c r="F20" s="13">
        <v>45087</v>
      </c>
      <c r="G20" s="12"/>
      <c r="H20" s="12"/>
      <c r="I20" s="14">
        <f t="shared" si="0"/>
        <v>1</v>
      </c>
      <c r="J20" s="29">
        <f t="shared" si="2"/>
        <v>11</v>
      </c>
      <c r="N20" s="31"/>
      <c r="Q20" s="36"/>
      <c r="R20" s="36"/>
      <c r="S20" s="36"/>
    </row>
    <row r="21" spans="1:19">
      <c r="A21" s="24">
        <v>60</v>
      </c>
      <c r="B21" s="15">
        <v>23432</v>
      </c>
      <c r="C21" s="16" t="s">
        <v>32</v>
      </c>
      <c r="D21" s="17">
        <v>45069</v>
      </c>
      <c r="E21" s="17">
        <v>45074</v>
      </c>
      <c r="F21" s="17">
        <v>45079</v>
      </c>
      <c r="G21" s="16"/>
      <c r="H21" s="16"/>
      <c r="I21" s="18">
        <f t="shared" si="0"/>
        <v>1</v>
      </c>
      <c r="J21" s="29">
        <f t="shared" si="2"/>
        <v>5</v>
      </c>
      <c r="N21" s="31"/>
      <c r="Q21" s="36"/>
      <c r="R21" s="36"/>
      <c r="S21" s="36"/>
    </row>
    <row r="22" spans="1:19">
      <c r="A22" s="23">
        <v>72</v>
      </c>
      <c r="B22" s="11">
        <v>12028</v>
      </c>
      <c r="C22" s="12" t="s">
        <v>32</v>
      </c>
      <c r="D22" s="13">
        <v>45014</v>
      </c>
      <c r="E22" s="13">
        <v>45019</v>
      </c>
      <c r="F22" s="12"/>
      <c r="G22" s="12"/>
      <c r="H22" s="12"/>
      <c r="I22" s="14">
        <f t="shared" si="0"/>
        <v>0</v>
      </c>
      <c r="J22" s="29" t="s">
        <v>58</v>
      </c>
      <c r="N22" s="31"/>
      <c r="Q22" s="36"/>
      <c r="R22" s="36"/>
      <c r="S22" s="36"/>
    </row>
    <row r="23" spans="1:19">
      <c r="A23" s="24">
        <v>73</v>
      </c>
      <c r="B23" s="15">
        <v>27071</v>
      </c>
      <c r="C23" s="16" t="s">
        <v>32</v>
      </c>
      <c r="D23" s="17">
        <v>44948</v>
      </c>
      <c r="E23" s="17">
        <v>44953</v>
      </c>
      <c r="F23" s="17">
        <v>44961</v>
      </c>
      <c r="G23" s="16"/>
      <c r="H23" s="16"/>
      <c r="I23" s="18">
        <f t="shared" si="0"/>
        <v>1</v>
      </c>
      <c r="J23" s="29">
        <f t="shared" ref="J23:J29" si="3">DATEDIF(E23,F23,"d")</f>
        <v>8</v>
      </c>
      <c r="N23" s="31"/>
      <c r="Q23" s="36"/>
      <c r="R23" s="36"/>
      <c r="S23" s="36"/>
    </row>
    <row r="24" spans="1:19">
      <c r="A24" s="23">
        <v>74</v>
      </c>
      <c r="B24" s="11">
        <v>20460</v>
      </c>
      <c r="C24" s="12" t="s">
        <v>32</v>
      </c>
      <c r="D24" s="13">
        <v>45034</v>
      </c>
      <c r="E24" s="13">
        <v>45038</v>
      </c>
      <c r="F24" s="13">
        <v>45042</v>
      </c>
      <c r="G24" s="13">
        <v>45064</v>
      </c>
      <c r="H24" s="13">
        <v>45068</v>
      </c>
      <c r="I24" s="14">
        <f t="shared" si="0"/>
        <v>1</v>
      </c>
      <c r="J24" s="29">
        <f t="shared" si="3"/>
        <v>4</v>
      </c>
      <c r="N24" s="31"/>
      <c r="Q24" s="36"/>
      <c r="R24" s="36"/>
      <c r="S24" s="36"/>
    </row>
    <row r="25" spans="1:19">
      <c r="A25" s="24">
        <v>86</v>
      </c>
      <c r="B25" s="15">
        <v>16372</v>
      </c>
      <c r="C25" s="16" t="s">
        <v>32</v>
      </c>
      <c r="D25" s="17">
        <v>44970</v>
      </c>
      <c r="E25" s="17">
        <v>44973</v>
      </c>
      <c r="F25" s="17">
        <v>44995</v>
      </c>
      <c r="G25" s="16"/>
      <c r="H25" s="16"/>
      <c r="I25" s="18">
        <f t="shared" si="0"/>
        <v>1</v>
      </c>
      <c r="J25" s="29">
        <f t="shared" si="3"/>
        <v>22</v>
      </c>
      <c r="N25" s="31"/>
      <c r="Q25" s="36"/>
      <c r="R25" s="36"/>
      <c r="S25" s="36"/>
    </row>
    <row r="26" spans="1:19">
      <c r="A26" s="23">
        <v>87</v>
      </c>
      <c r="B26" s="11">
        <v>28015</v>
      </c>
      <c r="C26" s="12" t="s">
        <v>32</v>
      </c>
      <c r="D26" s="13">
        <v>45041</v>
      </c>
      <c r="E26" s="13">
        <v>45045</v>
      </c>
      <c r="F26" s="13">
        <v>45052</v>
      </c>
      <c r="G26" s="12"/>
      <c r="H26" s="12"/>
      <c r="I26" s="14">
        <f t="shared" si="0"/>
        <v>1</v>
      </c>
      <c r="J26" s="29">
        <f t="shared" si="3"/>
        <v>7</v>
      </c>
      <c r="N26" s="31"/>
      <c r="Q26" s="36"/>
      <c r="R26" s="36"/>
      <c r="S26" s="36"/>
    </row>
    <row r="27" spans="1:19">
      <c r="A27" s="24">
        <v>88</v>
      </c>
      <c r="B27" s="15">
        <v>24568</v>
      </c>
      <c r="C27" s="16" t="s">
        <v>32</v>
      </c>
      <c r="D27" s="17">
        <v>45038</v>
      </c>
      <c r="E27" s="17">
        <v>45038</v>
      </c>
      <c r="F27" s="17">
        <v>45053</v>
      </c>
      <c r="G27" s="16"/>
      <c r="H27" s="16"/>
      <c r="I27" s="18">
        <f t="shared" si="0"/>
        <v>1</v>
      </c>
      <c r="J27" s="29">
        <f t="shared" si="3"/>
        <v>15</v>
      </c>
      <c r="N27" s="31"/>
      <c r="Q27" s="36"/>
      <c r="R27" s="36"/>
      <c r="S27" s="36"/>
    </row>
    <row r="28" spans="1:19">
      <c r="A28" s="23">
        <v>89</v>
      </c>
      <c r="B28" s="11">
        <v>20801</v>
      </c>
      <c r="C28" s="12" t="s">
        <v>32</v>
      </c>
      <c r="D28" s="13">
        <v>45025</v>
      </c>
      <c r="E28" s="13">
        <v>45027</v>
      </c>
      <c r="F28" s="13">
        <v>45052</v>
      </c>
      <c r="G28" s="12"/>
      <c r="H28" s="12"/>
      <c r="I28" s="14">
        <f t="shared" si="0"/>
        <v>1</v>
      </c>
      <c r="J28" s="29">
        <f t="shared" si="3"/>
        <v>25</v>
      </c>
      <c r="N28" s="31"/>
      <c r="Q28" s="36"/>
      <c r="R28" s="36"/>
      <c r="S28" s="36"/>
    </row>
    <row r="29" spans="1:19">
      <c r="A29" s="24">
        <v>91</v>
      </c>
      <c r="B29" s="15">
        <v>16376</v>
      </c>
      <c r="C29" s="16" t="s">
        <v>32</v>
      </c>
      <c r="D29" s="17">
        <v>44993</v>
      </c>
      <c r="E29" s="17">
        <v>44993</v>
      </c>
      <c r="F29" s="17">
        <v>45006</v>
      </c>
      <c r="G29" s="16"/>
      <c r="H29" s="16"/>
      <c r="I29" s="18">
        <f t="shared" si="0"/>
        <v>1</v>
      </c>
      <c r="J29" s="29">
        <f t="shared" si="3"/>
        <v>13</v>
      </c>
      <c r="N29" s="31"/>
      <c r="Q29" s="36"/>
      <c r="R29" s="36"/>
      <c r="S29" s="36"/>
    </row>
    <row r="30" spans="1:19">
      <c r="A30" s="23">
        <v>95</v>
      </c>
      <c r="B30" s="11">
        <v>18850</v>
      </c>
      <c r="C30" s="12" t="s">
        <v>32</v>
      </c>
      <c r="D30" s="13">
        <v>44955</v>
      </c>
      <c r="E30" s="13">
        <v>44955</v>
      </c>
      <c r="F30" s="12"/>
      <c r="G30" s="12"/>
      <c r="H30" s="12"/>
      <c r="I30" s="14">
        <f t="shared" si="0"/>
        <v>0</v>
      </c>
      <c r="J30" s="29" t="s">
        <v>58</v>
      </c>
      <c r="N30" s="31"/>
      <c r="Q30" s="36"/>
      <c r="R30" s="36"/>
      <c r="S30" s="36"/>
    </row>
    <row r="31" spans="1:19">
      <c r="A31" s="24">
        <v>96</v>
      </c>
      <c r="B31" s="15">
        <v>25324</v>
      </c>
      <c r="C31" s="16" t="s">
        <v>32</v>
      </c>
      <c r="D31" s="17">
        <v>45073</v>
      </c>
      <c r="E31" s="17">
        <v>45077</v>
      </c>
      <c r="F31" s="17">
        <v>45092</v>
      </c>
      <c r="G31" s="16"/>
      <c r="H31" s="16"/>
      <c r="I31" s="18">
        <f t="shared" si="0"/>
        <v>1</v>
      </c>
      <c r="J31" s="29">
        <f>DATEDIF(E31,F31,"d")</f>
        <v>15</v>
      </c>
      <c r="N31" s="31"/>
      <c r="Q31" s="36"/>
      <c r="R31" s="36"/>
      <c r="S31" s="36"/>
    </row>
    <row r="32" spans="1:19">
      <c r="A32" s="23">
        <v>98</v>
      </c>
      <c r="B32" s="11">
        <v>22403</v>
      </c>
      <c r="C32" s="12" t="s">
        <v>32</v>
      </c>
      <c r="D32" s="13">
        <v>44943</v>
      </c>
      <c r="E32" s="13">
        <v>44944</v>
      </c>
      <c r="F32" s="13">
        <v>44954</v>
      </c>
      <c r="G32" s="12"/>
      <c r="H32" s="12"/>
      <c r="I32" s="14">
        <f t="shared" si="0"/>
        <v>1</v>
      </c>
      <c r="J32" s="29">
        <f>DATEDIF(E32,F32,"d")</f>
        <v>10</v>
      </c>
      <c r="N32" s="31"/>
      <c r="Q32" s="36"/>
      <c r="R32" s="36"/>
      <c r="S32" s="36"/>
    </row>
    <row r="33" spans="1:19">
      <c r="A33" s="24">
        <v>100</v>
      </c>
      <c r="B33" s="15">
        <v>15558</v>
      </c>
      <c r="C33" s="16" t="s">
        <v>32</v>
      </c>
      <c r="D33" s="17">
        <v>44952</v>
      </c>
      <c r="E33" s="17">
        <v>44954</v>
      </c>
      <c r="F33" s="17">
        <v>44965</v>
      </c>
      <c r="G33" s="16"/>
      <c r="H33" s="16"/>
      <c r="I33" s="18">
        <f t="shared" si="0"/>
        <v>1</v>
      </c>
      <c r="J33" s="29">
        <f>DATEDIF(E33,F33,"d")</f>
        <v>11</v>
      </c>
      <c r="N33" s="31"/>
      <c r="Q33" s="36"/>
      <c r="R33" s="36"/>
      <c r="S33" s="36"/>
    </row>
    <row r="34" spans="1:19">
      <c r="A34" s="23">
        <v>107</v>
      </c>
      <c r="B34" s="11">
        <v>27642</v>
      </c>
      <c r="C34" s="12" t="s">
        <v>32</v>
      </c>
      <c r="D34" s="13">
        <v>44971</v>
      </c>
      <c r="E34" s="13">
        <v>44977</v>
      </c>
      <c r="F34" s="13">
        <v>44987</v>
      </c>
      <c r="G34" s="12"/>
      <c r="H34" s="12"/>
      <c r="I34" s="14">
        <f t="shared" ref="I34:I65" si="4">IF(ISBLANK(F34),0,1)</f>
        <v>1</v>
      </c>
      <c r="J34" s="29">
        <f>DATEDIF(E34,F34,"d")</f>
        <v>10</v>
      </c>
      <c r="N34" s="31"/>
      <c r="Q34" s="36"/>
      <c r="R34" s="36"/>
      <c r="S34" s="36"/>
    </row>
    <row r="35" spans="1:19">
      <c r="A35" s="24">
        <v>108</v>
      </c>
      <c r="B35" s="15">
        <v>23129</v>
      </c>
      <c r="C35" s="16" t="s">
        <v>32</v>
      </c>
      <c r="D35" s="17">
        <v>44969</v>
      </c>
      <c r="E35" s="17">
        <v>44970</v>
      </c>
      <c r="F35" s="17">
        <v>44972</v>
      </c>
      <c r="G35" s="17">
        <v>45000</v>
      </c>
      <c r="H35" s="17">
        <v>45006</v>
      </c>
      <c r="I35" s="18">
        <f t="shared" si="4"/>
        <v>1</v>
      </c>
      <c r="J35" s="29">
        <f>DATEDIF(E35,F35,"d")</f>
        <v>2</v>
      </c>
      <c r="N35" s="31"/>
      <c r="Q35" s="36"/>
      <c r="R35" s="36"/>
      <c r="S35" s="36"/>
    </row>
    <row r="36" spans="1:19">
      <c r="A36" s="23">
        <v>112</v>
      </c>
      <c r="B36" s="11">
        <v>13034</v>
      </c>
      <c r="C36" s="12" t="s">
        <v>32</v>
      </c>
      <c r="D36" s="13">
        <v>45052</v>
      </c>
      <c r="E36" s="13">
        <v>45058</v>
      </c>
      <c r="F36" s="12"/>
      <c r="G36" s="13">
        <v>45075</v>
      </c>
      <c r="H36" s="13">
        <v>45082</v>
      </c>
      <c r="I36" s="14">
        <f t="shared" si="4"/>
        <v>0</v>
      </c>
      <c r="J36" s="29" t="s">
        <v>58</v>
      </c>
      <c r="N36" s="31"/>
      <c r="Q36" s="36"/>
      <c r="R36" s="36"/>
      <c r="S36" s="36"/>
    </row>
    <row r="37" spans="1:19">
      <c r="A37" s="24">
        <v>113</v>
      </c>
      <c r="B37" s="15">
        <v>22854</v>
      </c>
      <c r="C37" s="16" t="s">
        <v>32</v>
      </c>
      <c r="D37" s="17">
        <v>45075</v>
      </c>
      <c r="E37" s="17">
        <v>45078</v>
      </c>
      <c r="F37" s="17">
        <v>45099</v>
      </c>
      <c r="G37" s="16"/>
      <c r="H37" s="16"/>
      <c r="I37" s="18">
        <f t="shared" si="4"/>
        <v>1</v>
      </c>
      <c r="J37" s="29">
        <f t="shared" ref="J37:J48" si="5">DATEDIF(E37,F37,"d")</f>
        <v>21</v>
      </c>
      <c r="N37" s="31"/>
      <c r="Q37" s="36"/>
      <c r="R37" s="36"/>
      <c r="S37" s="36"/>
    </row>
    <row r="38" spans="1:19">
      <c r="A38" s="23">
        <v>115</v>
      </c>
      <c r="B38" s="11">
        <v>16495</v>
      </c>
      <c r="C38" s="12" t="s">
        <v>32</v>
      </c>
      <c r="D38" s="13">
        <v>45061</v>
      </c>
      <c r="E38" s="13">
        <v>45065</v>
      </c>
      <c r="F38" s="13">
        <v>45076</v>
      </c>
      <c r="G38" s="12"/>
      <c r="H38" s="12"/>
      <c r="I38" s="14">
        <f t="shared" si="4"/>
        <v>1</v>
      </c>
      <c r="J38" s="29">
        <f t="shared" si="5"/>
        <v>11</v>
      </c>
      <c r="N38" s="31"/>
      <c r="Q38" s="36"/>
      <c r="R38" s="36"/>
      <c r="S38" s="36"/>
    </row>
    <row r="39" spans="1:19">
      <c r="A39" s="24">
        <v>119</v>
      </c>
      <c r="B39" s="15">
        <v>15375</v>
      </c>
      <c r="C39" s="16" t="s">
        <v>32</v>
      </c>
      <c r="D39" s="17">
        <v>44982</v>
      </c>
      <c r="E39" s="17">
        <v>44987</v>
      </c>
      <c r="F39" s="17">
        <v>44990</v>
      </c>
      <c r="G39" s="16"/>
      <c r="H39" s="16"/>
      <c r="I39" s="18">
        <f t="shared" si="4"/>
        <v>1</v>
      </c>
      <c r="J39" s="29">
        <f t="shared" si="5"/>
        <v>3</v>
      </c>
      <c r="N39" s="31"/>
      <c r="Q39" s="36"/>
      <c r="R39" s="36"/>
      <c r="S39" s="36"/>
    </row>
    <row r="40" spans="1:19">
      <c r="A40" s="23">
        <v>121</v>
      </c>
      <c r="B40" s="11">
        <v>21289</v>
      </c>
      <c r="C40" s="12" t="s">
        <v>32</v>
      </c>
      <c r="D40" s="13">
        <v>44943</v>
      </c>
      <c r="E40" s="13">
        <v>44946</v>
      </c>
      <c r="F40" s="13">
        <v>44952</v>
      </c>
      <c r="G40" s="12"/>
      <c r="H40" s="12"/>
      <c r="I40" s="14">
        <f t="shared" si="4"/>
        <v>1</v>
      </c>
      <c r="J40" s="29">
        <f t="shared" si="5"/>
        <v>6</v>
      </c>
      <c r="N40" s="31"/>
      <c r="Q40" s="36"/>
      <c r="R40" s="36"/>
      <c r="S40" s="36"/>
    </row>
    <row r="41" spans="1:19">
      <c r="A41" s="24">
        <v>125</v>
      </c>
      <c r="B41" s="15">
        <v>12847</v>
      </c>
      <c r="C41" s="16" t="s">
        <v>32</v>
      </c>
      <c r="D41" s="17">
        <v>45064</v>
      </c>
      <c r="E41" s="17">
        <v>45064</v>
      </c>
      <c r="F41" s="17">
        <v>45073</v>
      </c>
      <c r="G41" s="16"/>
      <c r="H41" s="16"/>
      <c r="I41" s="18">
        <f t="shared" si="4"/>
        <v>1</v>
      </c>
      <c r="J41" s="29">
        <f t="shared" si="5"/>
        <v>9</v>
      </c>
      <c r="N41" s="31"/>
      <c r="Q41" s="36"/>
      <c r="R41" s="36"/>
      <c r="S41" s="36"/>
    </row>
    <row r="42" spans="1:19">
      <c r="A42" s="23">
        <v>128</v>
      </c>
      <c r="B42" s="11">
        <v>10705</v>
      </c>
      <c r="C42" s="12" t="s">
        <v>32</v>
      </c>
      <c r="D42" s="13">
        <v>45021</v>
      </c>
      <c r="E42" s="13">
        <v>45021</v>
      </c>
      <c r="F42" s="13">
        <v>45043</v>
      </c>
      <c r="G42" s="12"/>
      <c r="H42" s="12"/>
      <c r="I42" s="14">
        <f t="shared" si="4"/>
        <v>1</v>
      </c>
      <c r="J42" s="29">
        <f t="shared" si="5"/>
        <v>22</v>
      </c>
      <c r="N42" s="31"/>
      <c r="Q42" s="36"/>
      <c r="R42" s="36"/>
      <c r="S42" s="36"/>
    </row>
    <row r="43" spans="1:19">
      <c r="A43" s="24">
        <v>130</v>
      </c>
      <c r="B43" s="15">
        <v>16481</v>
      </c>
      <c r="C43" s="16" t="s">
        <v>32</v>
      </c>
      <c r="D43" s="17">
        <v>45032</v>
      </c>
      <c r="E43" s="17">
        <v>45035</v>
      </c>
      <c r="F43" s="17">
        <v>45045</v>
      </c>
      <c r="G43" s="16"/>
      <c r="H43" s="16"/>
      <c r="I43" s="18">
        <f t="shared" si="4"/>
        <v>1</v>
      </c>
      <c r="J43" s="29">
        <f t="shared" si="5"/>
        <v>10</v>
      </c>
      <c r="N43" s="31"/>
      <c r="Q43" s="36"/>
      <c r="R43" s="36"/>
      <c r="S43" s="36"/>
    </row>
    <row r="44" spans="1:19">
      <c r="A44" s="23">
        <v>137</v>
      </c>
      <c r="B44" s="11">
        <v>17304</v>
      </c>
      <c r="C44" s="12" t="s">
        <v>32</v>
      </c>
      <c r="D44" s="13">
        <v>44946</v>
      </c>
      <c r="E44" s="13">
        <v>44947</v>
      </c>
      <c r="F44" s="13">
        <v>44966</v>
      </c>
      <c r="G44" s="12"/>
      <c r="H44" s="12"/>
      <c r="I44" s="14">
        <f t="shared" si="4"/>
        <v>1</v>
      </c>
      <c r="J44" s="29">
        <f t="shared" si="5"/>
        <v>19</v>
      </c>
      <c r="N44" s="31"/>
      <c r="Q44" s="36"/>
      <c r="R44" s="36"/>
      <c r="S44" s="36"/>
    </row>
    <row r="45" spans="1:19">
      <c r="A45" s="24">
        <v>139</v>
      </c>
      <c r="B45" s="15">
        <v>29284</v>
      </c>
      <c r="C45" s="16" t="s">
        <v>32</v>
      </c>
      <c r="D45" s="17">
        <v>45034</v>
      </c>
      <c r="E45" s="17">
        <v>45035</v>
      </c>
      <c r="F45" s="17">
        <v>45037</v>
      </c>
      <c r="G45" s="16"/>
      <c r="H45" s="16"/>
      <c r="I45" s="18">
        <f t="shared" si="4"/>
        <v>1</v>
      </c>
      <c r="J45" s="29">
        <f t="shared" si="5"/>
        <v>2</v>
      </c>
      <c r="N45" s="31"/>
      <c r="Q45" s="36"/>
      <c r="R45" s="36"/>
      <c r="S45" s="36"/>
    </row>
    <row r="46" spans="1:19">
      <c r="A46" s="23">
        <v>149</v>
      </c>
      <c r="B46" s="11">
        <v>17183</v>
      </c>
      <c r="C46" s="12" t="s">
        <v>32</v>
      </c>
      <c r="D46" s="13">
        <v>45039</v>
      </c>
      <c r="E46" s="13">
        <v>45039</v>
      </c>
      <c r="F46" s="13">
        <v>45050</v>
      </c>
      <c r="G46" s="12"/>
      <c r="H46" s="12"/>
      <c r="I46" s="14">
        <f t="shared" si="4"/>
        <v>1</v>
      </c>
      <c r="J46" s="29">
        <f t="shared" si="5"/>
        <v>11</v>
      </c>
      <c r="N46" s="31"/>
      <c r="Q46" s="36"/>
      <c r="R46" s="36"/>
      <c r="S46" s="36"/>
    </row>
    <row r="47" spans="1:19">
      <c r="A47" s="24">
        <v>153</v>
      </c>
      <c r="B47" s="15">
        <v>27984</v>
      </c>
      <c r="C47" s="16" t="s">
        <v>32</v>
      </c>
      <c r="D47" s="17">
        <v>45000</v>
      </c>
      <c r="E47" s="17">
        <v>45002</v>
      </c>
      <c r="F47" s="17">
        <v>45005</v>
      </c>
      <c r="G47" s="16"/>
      <c r="H47" s="16"/>
      <c r="I47" s="18">
        <f t="shared" si="4"/>
        <v>1</v>
      </c>
      <c r="J47" s="29">
        <f t="shared" si="5"/>
        <v>3</v>
      </c>
      <c r="N47" s="31"/>
      <c r="Q47" s="36"/>
      <c r="R47" s="36"/>
      <c r="S47" s="36"/>
    </row>
    <row r="48" spans="1:19">
      <c r="A48" s="23">
        <v>156</v>
      </c>
      <c r="B48" s="11">
        <v>21442</v>
      </c>
      <c r="C48" s="12" t="s">
        <v>32</v>
      </c>
      <c r="D48" s="13">
        <v>45055</v>
      </c>
      <c r="E48" s="13">
        <v>45057</v>
      </c>
      <c r="F48" s="13">
        <v>45081</v>
      </c>
      <c r="G48" s="12"/>
      <c r="H48" s="12"/>
      <c r="I48" s="14">
        <f t="shared" si="4"/>
        <v>1</v>
      </c>
      <c r="J48" s="29">
        <f t="shared" si="5"/>
        <v>24</v>
      </c>
      <c r="N48" s="31"/>
      <c r="Q48" s="36"/>
      <c r="R48" s="36"/>
      <c r="S48" s="36"/>
    </row>
    <row r="49" spans="1:19">
      <c r="A49" s="24">
        <v>162</v>
      </c>
      <c r="B49" s="15">
        <v>11154</v>
      </c>
      <c r="C49" s="16" t="s">
        <v>32</v>
      </c>
      <c r="D49" s="17">
        <v>45021</v>
      </c>
      <c r="E49" s="17">
        <v>45022</v>
      </c>
      <c r="F49" s="16"/>
      <c r="G49" s="17">
        <v>45040</v>
      </c>
      <c r="H49" s="17">
        <v>45041</v>
      </c>
      <c r="I49" s="18">
        <f t="shared" si="4"/>
        <v>0</v>
      </c>
      <c r="J49" s="29" t="s">
        <v>58</v>
      </c>
      <c r="N49" s="31"/>
      <c r="Q49" s="36"/>
      <c r="R49" s="36"/>
      <c r="S49" s="36"/>
    </row>
    <row r="50" spans="1:19">
      <c r="A50" s="23">
        <v>163</v>
      </c>
      <c r="B50" s="11">
        <v>20637</v>
      </c>
      <c r="C50" s="12" t="s">
        <v>32</v>
      </c>
      <c r="D50" s="13">
        <v>44959</v>
      </c>
      <c r="E50" s="13">
        <v>44960</v>
      </c>
      <c r="F50" s="13">
        <v>44960</v>
      </c>
      <c r="G50" s="12"/>
      <c r="H50" s="12"/>
      <c r="I50" s="14">
        <f t="shared" si="4"/>
        <v>1</v>
      </c>
      <c r="J50" s="29">
        <f>DATEDIF(E50,F50,"d")</f>
        <v>0</v>
      </c>
      <c r="N50" s="31"/>
      <c r="Q50" s="36"/>
      <c r="R50" s="36"/>
      <c r="S50" s="36"/>
    </row>
    <row r="51" spans="1:19">
      <c r="A51" s="24">
        <v>168</v>
      </c>
      <c r="B51" s="15">
        <v>25845</v>
      </c>
      <c r="C51" s="16" t="s">
        <v>32</v>
      </c>
      <c r="D51" s="17">
        <v>44927</v>
      </c>
      <c r="E51" s="17">
        <v>44931</v>
      </c>
      <c r="F51" s="17">
        <v>44948</v>
      </c>
      <c r="G51" s="16"/>
      <c r="H51" s="16"/>
      <c r="I51" s="18">
        <f t="shared" si="4"/>
        <v>1</v>
      </c>
      <c r="J51" s="29">
        <f>DATEDIF(E51,F51,"d")</f>
        <v>17</v>
      </c>
      <c r="N51" s="31"/>
      <c r="Q51" s="36"/>
      <c r="R51" s="36"/>
      <c r="S51" s="36"/>
    </row>
    <row r="52" spans="1:19">
      <c r="A52" s="23">
        <v>169</v>
      </c>
      <c r="B52" s="11">
        <v>11509</v>
      </c>
      <c r="C52" s="12" t="s">
        <v>32</v>
      </c>
      <c r="D52" s="13">
        <v>44946</v>
      </c>
      <c r="E52" s="13">
        <v>44952</v>
      </c>
      <c r="F52" s="13">
        <v>44955</v>
      </c>
      <c r="G52" s="12"/>
      <c r="H52" s="12"/>
      <c r="I52" s="14">
        <f t="shared" si="4"/>
        <v>1</v>
      </c>
      <c r="J52" s="29">
        <f>DATEDIF(E52,F52,"d")</f>
        <v>3</v>
      </c>
      <c r="N52" s="31"/>
      <c r="Q52" s="36"/>
      <c r="R52" s="36"/>
      <c r="S52" s="36"/>
    </row>
    <row r="53" spans="1:19">
      <c r="A53" s="24">
        <v>184</v>
      </c>
      <c r="B53" s="15">
        <v>10651</v>
      </c>
      <c r="C53" s="16" t="s">
        <v>32</v>
      </c>
      <c r="D53" s="17">
        <v>44959</v>
      </c>
      <c r="E53" s="17">
        <v>44965</v>
      </c>
      <c r="F53" s="17">
        <v>44975</v>
      </c>
      <c r="G53" s="16"/>
      <c r="H53" s="16"/>
      <c r="I53" s="18">
        <f t="shared" si="4"/>
        <v>1</v>
      </c>
      <c r="J53" s="29">
        <f>DATEDIF(E53,F53,"d")</f>
        <v>10</v>
      </c>
      <c r="N53" s="31"/>
      <c r="Q53" s="36"/>
      <c r="R53" s="36"/>
      <c r="S53" s="36"/>
    </row>
    <row r="54" spans="1:19">
      <c r="A54" s="23">
        <v>194</v>
      </c>
      <c r="B54" s="11">
        <v>26656</v>
      </c>
      <c r="C54" s="12" t="s">
        <v>32</v>
      </c>
      <c r="D54" s="13">
        <v>45007</v>
      </c>
      <c r="E54" s="13">
        <v>45013</v>
      </c>
      <c r="F54" s="12"/>
      <c r="G54" s="13">
        <v>45036</v>
      </c>
      <c r="H54" s="13">
        <v>45043</v>
      </c>
      <c r="I54" s="14">
        <f t="shared" si="4"/>
        <v>0</v>
      </c>
      <c r="J54" s="29" t="s">
        <v>58</v>
      </c>
      <c r="N54" s="31"/>
      <c r="Q54" s="36"/>
      <c r="R54" s="36"/>
      <c r="S54" s="36"/>
    </row>
    <row r="55" spans="1:19">
      <c r="A55" s="24">
        <v>201</v>
      </c>
      <c r="B55" s="15">
        <v>20835</v>
      </c>
      <c r="C55" s="16" t="s">
        <v>32</v>
      </c>
      <c r="D55" s="17">
        <v>44937</v>
      </c>
      <c r="E55" s="17">
        <v>44941</v>
      </c>
      <c r="F55" s="17">
        <v>44954</v>
      </c>
      <c r="G55" s="16"/>
      <c r="H55" s="16"/>
      <c r="I55" s="18">
        <f t="shared" si="4"/>
        <v>1</v>
      </c>
      <c r="J55" s="29">
        <f t="shared" ref="J55:J68" si="6">DATEDIF(E55,F55,"d")</f>
        <v>13</v>
      </c>
      <c r="N55" s="31"/>
      <c r="Q55" s="36"/>
      <c r="R55" s="36"/>
      <c r="S55" s="36"/>
    </row>
    <row r="56" spans="1:19">
      <c r="A56" s="23">
        <v>211</v>
      </c>
      <c r="B56" s="11">
        <v>10763</v>
      </c>
      <c r="C56" s="12" t="s">
        <v>32</v>
      </c>
      <c r="D56" s="13">
        <v>45023</v>
      </c>
      <c r="E56" s="13">
        <v>45023</v>
      </c>
      <c r="F56" s="13">
        <v>45028</v>
      </c>
      <c r="G56" s="12"/>
      <c r="H56" s="12"/>
      <c r="I56" s="14">
        <f t="shared" si="4"/>
        <v>1</v>
      </c>
      <c r="J56" s="29">
        <f t="shared" si="6"/>
        <v>5</v>
      </c>
      <c r="N56" s="31"/>
      <c r="Q56" s="36"/>
      <c r="R56" s="36"/>
      <c r="S56" s="36"/>
    </row>
    <row r="57" spans="1:19">
      <c r="A57" s="24">
        <v>213</v>
      </c>
      <c r="B57" s="15">
        <v>23088</v>
      </c>
      <c r="C57" s="16" t="s">
        <v>32</v>
      </c>
      <c r="D57" s="17">
        <v>45055</v>
      </c>
      <c r="E57" s="17">
        <v>45055</v>
      </c>
      <c r="F57" s="17">
        <v>45062</v>
      </c>
      <c r="G57" s="16"/>
      <c r="H57" s="16"/>
      <c r="I57" s="18">
        <f t="shared" si="4"/>
        <v>1</v>
      </c>
      <c r="J57" s="29">
        <f t="shared" si="6"/>
        <v>7</v>
      </c>
      <c r="N57" s="31"/>
      <c r="Q57" s="36"/>
      <c r="R57" s="36"/>
      <c r="S57" s="36"/>
    </row>
    <row r="58" spans="1:19">
      <c r="A58" s="23">
        <v>219</v>
      </c>
      <c r="B58" s="11">
        <v>16870</v>
      </c>
      <c r="C58" s="12" t="s">
        <v>32</v>
      </c>
      <c r="D58" s="13">
        <v>44969</v>
      </c>
      <c r="E58" s="13">
        <v>44972</v>
      </c>
      <c r="F58" s="13">
        <v>44998</v>
      </c>
      <c r="G58" s="12"/>
      <c r="H58" s="12"/>
      <c r="I58" s="14">
        <f t="shared" si="4"/>
        <v>1</v>
      </c>
      <c r="J58" s="29">
        <f t="shared" si="6"/>
        <v>26</v>
      </c>
      <c r="N58" s="31"/>
      <c r="Q58" s="36"/>
      <c r="R58" s="36"/>
      <c r="S58" s="36"/>
    </row>
    <row r="59" spans="1:19">
      <c r="A59" s="24">
        <v>221</v>
      </c>
      <c r="B59" s="15">
        <v>28671</v>
      </c>
      <c r="C59" s="16" t="s">
        <v>32</v>
      </c>
      <c r="D59" s="17">
        <v>44958</v>
      </c>
      <c r="E59" s="17">
        <v>44961</v>
      </c>
      <c r="F59" s="17">
        <v>44970</v>
      </c>
      <c r="G59" s="16"/>
      <c r="H59" s="16"/>
      <c r="I59" s="18">
        <f t="shared" si="4"/>
        <v>1</v>
      </c>
      <c r="J59" s="29">
        <f t="shared" si="6"/>
        <v>9</v>
      </c>
      <c r="N59" s="31"/>
      <c r="Q59" s="36"/>
      <c r="R59" s="36"/>
      <c r="S59" s="36"/>
    </row>
    <row r="60" spans="1:19">
      <c r="A60" s="23">
        <v>231</v>
      </c>
      <c r="B60" s="11">
        <v>17373</v>
      </c>
      <c r="C60" s="12" t="s">
        <v>32</v>
      </c>
      <c r="D60" s="13">
        <v>45046</v>
      </c>
      <c r="E60" s="13">
        <v>45049</v>
      </c>
      <c r="F60" s="13">
        <v>45061</v>
      </c>
      <c r="G60" s="13">
        <v>45072</v>
      </c>
      <c r="H60" s="13">
        <v>45077</v>
      </c>
      <c r="I60" s="14">
        <f t="shared" si="4"/>
        <v>1</v>
      </c>
      <c r="J60" s="29">
        <f t="shared" si="6"/>
        <v>12</v>
      </c>
      <c r="N60" s="31"/>
      <c r="Q60" s="36"/>
      <c r="R60" s="36"/>
      <c r="S60" s="36"/>
    </row>
    <row r="61" spans="1:19">
      <c r="A61" s="24">
        <v>232</v>
      </c>
      <c r="B61" s="15">
        <v>16872</v>
      </c>
      <c r="C61" s="16" t="s">
        <v>32</v>
      </c>
      <c r="D61" s="17">
        <v>45045</v>
      </c>
      <c r="E61" s="17">
        <v>45047</v>
      </c>
      <c r="F61" s="17">
        <v>45051</v>
      </c>
      <c r="G61" s="16"/>
      <c r="H61" s="16"/>
      <c r="I61" s="18">
        <f t="shared" si="4"/>
        <v>1</v>
      </c>
      <c r="J61" s="29">
        <f t="shared" si="6"/>
        <v>4</v>
      </c>
      <c r="N61" s="31"/>
      <c r="Q61" s="36"/>
      <c r="R61" s="36"/>
      <c r="S61" s="36"/>
    </row>
    <row r="62" spans="1:19">
      <c r="A62" s="23">
        <v>233</v>
      </c>
      <c r="B62" s="11">
        <v>14775</v>
      </c>
      <c r="C62" s="12" t="s">
        <v>32</v>
      </c>
      <c r="D62" s="13">
        <v>44944</v>
      </c>
      <c r="E62" s="13">
        <v>44948</v>
      </c>
      <c r="F62" s="13">
        <v>44949</v>
      </c>
      <c r="G62" s="12"/>
      <c r="H62" s="12"/>
      <c r="I62" s="14">
        <f t="shared" si="4"/>
        <v>1</v>
      </c>
      <c r="J62" s="29">
        <f t="shared" si="6"/>
        <v>1</v>
      </c>
      <c r="N62" s="31"/>
      <c r="Q62" s="36"/>
      <c r="R62" s="36"/>
      <c r="S62" s="36"/>
    </row>
    <row r="63" spans="1:19">
      <c r="A63" s="24">
        <v>234</v>
      </c>
      <c r="B63" s="15">
        <v>21646</v>
      </c>
      <c r="C63" s="16" t="s">
        <v>32</v>
      </c>
      <c r="D63" s="17">
        <v>45035</v>
      </c>
      <c r="E63" s="17">
        <v>45038</v>
      </c>
      <c r="F63" s="17">
        <v>45054</v>
      </c>
      <c r="G63" s="16"/>
      <c r="H63" s="16"/>
      <c r="I63" s="18">
        <f t="shared" si="4"/>
        <v>1</v>
      </c>
      <c r="J63" s="29">
        <f t="shared" si="6"/>
        <v>16</v>
      </c>
      <c r="N63" s="31"/>
      <c r="Q63" s="36"/>
      <c r="R63" s="36"/>
      <c r="S63" s="36"/>
    </row>
    <row r="64" spans="1:19">
      <c r="A64" s="23">
        <v>236</v>
      </c>
      <c r="B64" s="11">
        <v>29049</v>
      </c>
      <c r="C64" s="12" t="s">
        <v>32</v>
      </c>
      <c r="D64" s="13">
        <v>44933</v>
      </c>
      <c r="E64" s="13">
        <v>44936</v>
      </c>
      <c r="F64" s="13">
        <v>44940</v>
      </c>
      <c r="G64" s="12"/>
      <c r="H64" s="12"/>
      <c r="I64" s="14">
        <f t="shared" si="4"/>
        <v>1</v>
      </c>
      <c r="J64" s="29">
        <f t="shared" si="6"/>
        <v>4</v>
      </c>
      <c r="N64" s="31"/>
      <c r="Q64" s="36"/>
      <c r="R64" s="36"/>
      <c r="S64" s="36"/>
    </row>
    <row r="65" spans="1:19">
      <c r="A65" s="24">
        <v>238</v>
      </c>
      <c r="B65" s="15">
        <v>10892</v>
      </c>
      <c r="C65" s="16" t="s">
        <v>32</v>
      </c>
      <c r="D65" s="17">
        <v>45076</v>
      </c>
      <c r="E65" s="17">
        <v>45076</v>
      </c>
      <c r="F65" s="17">
        <v>45094</v>
      </c>
      <c r="G65" s="16"/>
      <c r="H65" s="16"/>
      <c r="I65" s="18">
        <f t="shared" si="4"/>
        <v>1</v>
      </c>
      <c r="J65" s="29">
        <f t="shared" si="6"/>
        <v>18</v>
      </c>
      <c r="N65" s="31"/>
      <c r="Q65" s="36"/>
      <c r="R65" s="36"/>
      <c r="S65" s="36"/>
    </row>
    <row r="66" spans="1:19">
      <c r="A66" s="23">
        <v>241</v>
      </c>
      <c r="B66" s="11">
        <v>24139</v>
      </c>
      <c r="C66" s="12" t="s">
        <v>32</v>
      </c>
      <c r="D66" s="13">
        <v>45038</v>
      </c>
      <c r="E66" s="13">
        <v>45038</v>
      </c>
      <c r="F66" s="13">
        <v>45038</v>
      </c>
      <c r="G66" s="13">
        <v>45053</v>
      </c>
      <c r="H66" s="13">
        <v>45055</v>
      </c>
      <c r="I66" s="14">
        <f t="shared" ref="I66:I81" si="7">IF(ISBLANK(F66),0,1)</f>
        <v>1</v>
      </c>
      <c r="J66" s="29">
        <f t="shared" si="6"/>
        <v>0</v>
      </c>
      <c r="N66" s="31"/>
      <c r="Q66" s="36"/>
      <c r="R66" s="36"/>
      <c r="S66" s="36"/>
    </row>
    <row r="67" spans="1:19">
      <c r="A67" s="24">
        <v>242</v>
      </c>
      <c r="B67" s="15">
        <v>25069</v>
      </c>
      <c r="C67" s="16" t="s">
        <v>32</v>
      </c>
      <c r="D67" s="17">
        <v>44990</v>
      </c>
      <c r="E67" s="17">
        <v>44994</v>
      </c>
      <c r="F67" s="17">
        <v>45001</v>
      </c>
      <c r="G67" s="17">
        <v>45024</v>
      </c>
      <c r="H67" s="17">
        <v>45025</v>
      </c>
      <c r="I67" s="18">
        <f t="shared" si="7"/>
        <v>1</v>
      </c>
      <c r="J67" s="29">
        <f t="shared" si="6"/>
        <v>7</v>
      </c>
      <c r="N67" s="31"/>
      <c r="Q67" s="36"/>
      <c r="R67" s="36"/>
      <c r="S67" s="36"/>
    </row>
    <row r="68" spans="1:19">
      <c r="A68" s="23">
        <v>247</v>
      </c>
      <c r="B68" s="11">
        <v>11054</v>
      </c>
      <c r="C68" s="12" t="s">
        <v>32</v>
      </c>
      <c r="D68" s="13">
        <v>45019</v>
      </c>
      <c r="E68" s="13">
        <v>45025</v>
      </c>
      <c r="F68" s="13">
        <v>45038</v>
      </c>
      <c r="G68" s="12"/>
      <c r="H68" s="12"/>
      <c r="I68" s="14">
        <f t="shared" si="7"/>
        <v>1</v>
      </c>
      <c r="J68" s="29">
        <f t="shared" si="6"/>
        <v>13</v>
      </c>
      <c r="N68" s="31"/>
      <c r="Q68" s="36"/>
      <c r="R68" s="36"/>
      <c r="S68" s="36"/>
    </row>
    <row r="69" spans="1:19">
      <c r="A69" s="24">
        <v>250</v>
      </c>
      <c r="B69" s="15">
        <v>27353</v>
      </c>
      <c r="C69" s="16" t="s">
        <v>32</v>
      </c>
      <c r="D69" s="17">
        <v>45056</v>
      </c>
      <c r="E69" s="17">
        <v>45059</v>
      </c>
      <c r="F69" s="16"/>
      <c r="G69" s="16"/>
      <c r="H69" s="16"/>
      <c r="I69" s="18">
        <f t="shared" si="7"/>
        <v>0</v>
      </c>
      <c r="J69" s="29" t="s">
        <v>58</v>
      </c>
      <c r="N69" s="31"/>
      <c r="Q69" s="36"/>
      <c r="R69" s="36"/>
      <c r="S69" s="36"/>
    </row>
    <row r="70" spans="1:19">
      <c r="A70" s="23">
        <v>255</v>
      </c>
      <c r="B70" s="11">
        <v>13341</v>
      </c>
      <c r="C70" s="12" t="s">
        <v>32</v>
      </c>
      <c r="D70" s="13">
        <v>45031</v>
      </c>
      <c r="E70" s="13">
        <v>45034</v>
      </c>
      <c r="F70" s="13">
        <v>45036</v>
      </c>
      <c r="G70" s="13">
        <v>45058</v>
      </c>
      <c r="H70" s="13">
        <v>45062</v>
      </c>
      <c r="I70" s="14">
        <f t="shared" si="7"/>
        <v>1</v>
      </c>
      <c r="J70" s="29">
        <f>DATEDIF(E70,F70,"d")</f>
        <v>2</v>
      </c>
      <c r="N70" s="31"/>
      <c r="Q70" s="36"/>
      <c r="R70" s="36"/>
      <c r="S70" s="36"/>
    </row>
    <row r="71" spans="1:19">
      <c r="A71" s="24">
        <v>257</v>
      </c>
      <c r="B71" s="15">
        <v>17873</v>
      </c>
      <c r="C71" s="16" t="s">
        <v>32</v>
      </c>
      <c r="D71" s="17">
        <v>44972</v>
      </c>
      <c r="E71" s="17">
        <v>44978</v>
      </c>
      <c r="F71" s="16"/>
      <c r="G71" s="16"/>
      <c r="H71" s="16"/>
      <c r="I71" s="18">
        <f t="shared" si="7"/>
        <v>0</v>
      </c>
      <c r="J71" s="29" t="s">
        <v>58</v>
      </c>
      <c r="N71" s="31"/>
      <c r="Q71" s="36"/>
      <c r="R71" s="36"/>
      <c r="S71" s="36"/>
    </row>
    <row r="72" spans="1:19">
      <c r="A72" s="23">
        <v>259</v>
      </c>
      <c r="B72" s="11">
        <v>25731</v>
      </c>
      <c r="C72" s="12" t="s">
        <v>32</v>
      </c>
      <c r="D72" s="13">
        <v>44927</v>
      </c>
      <c r="E72" s="13">
        <v>44929</v>
      </c>
      <c r="F72" s="13">
        <v>44944</v>
      </c>
      <c r="G72" s="12"/>
      <c r="H72" s="12"/>
      <c r="I72" s="14">
        <f t="shared" si="7"/>
        <v>1</v>
      </c>
      <c r="J72" s="29">
        <f t="shared" ref="J72:J80" si="8">DATEDIF(E72,F72,"d")</f>
        <v>15</v>
      </c>
      <c r="N72" s="31"/>
      <c r="Q72" s="36"/>
      <c r="R72" s="36"/>
      <c r="S72" s="36"/>
    </row>
    <row r="73" spans="1:19">
      <c r="A73" s="24">
        <v>262</v>
      </c>
      <c r="B73" s="15">
        <v>28249</v>
      </c>
      <c r="C73" s="16" t="s">
        <v>32</v>
      </c>
      <c r="D73" s="17">
        <v>44936</v>
      </c>
      <c r="E73" s="17">
        <v>44937</v>
      </c>
      <c r="F73" s="17">
        <v>44937</v>
      </c>
      <c r="G73" s="16"/>
      <c r="H73" s="16"/>
      <c r="I73" s="18">
        <f t="shared" si="7"/>
        <v>1</v>
      </c>
      <c r="J73" s="29">
        <f t="shared" si="8"/>
        <v>0</v>
      </c>
      <c r="N73" s="31"/>
      <c r="Q73" s="36"/>
      <c r="R73" s="36"/>
      <c r="S73" s="36"/>
    </row>
    <row r="74" spans="1:19">
      <c r="A74" s="23">
        <v>267</v>
      </c>
      <c r="B74" s="11">
        <v>25238</v>
      </c>
      <c r="C74" s="12" t="s">
        <v>32</v>
      </c>
      <c r="D74" s="13">
        <v>44927</v>
      </c>
      <c r="E74" s="13">
        <v>44931</v>
      </c>
      <c r="F74" s="13">
        <v>44946</v>
      </c>
      <c r="G74" s="12"/>
      <c r="H74" s="12"/>
      <c r="I74" s="14">
        <f t="shared" si="7"/>
        <v>1</v>
      </c>
      <c r="J74" s="29">
        <f t="shared" si="8"/>
        <v>15</v>
      </c>
      <c r="N74" s="31"/>
      <c r="Q74" s="36"/>
      <c r="R74" s="36"/>
      <c r="S74" s="36"/>
    </row>
    <row r="75" spans="1:19">
      <c r="A75" s="24">
        <v>268</v>
      </c>
      <c r="B75" s="15">
        <v>27151</v>
      </c>
      <c r="C75" s="16" t="s">
        <v>32</v>
      </c>
      <c r="D75" s="17">
        <v>44991</v>
      </c>
      <c r="E75" s="17">
        <v>44996</v>
      </c>
      <c r="F75" s="17">
        <v>45016</v>
      </c>
      <c r="G75" s="16"/>
      <c r="H75" s="16"/>
      <c r="I75" s="18">
        <f t="shared" si="7"/>
        <v>1</v>
      </c>
      <c r="J75" s="29">
        <f t="shared" si="8"/>
        <v>20</v>
      </c>
      <c r="N75" s="31"/>
      <c r="Q75" s="36"/>
      <c r="R75" s="36"/>
      <c r="S75" s="36"/>
    </row>
    <row r="76" spans="1:19">
      <c r="A76" s="23">
        <v>277</v>
      </c>
      <c r="B76" s="11">
        <v>22191</v>
      </c>
      <c r="C76" s="12" t="s">
        <v>32</v>
      </c>
      <c r="D76" s="13">
        <v>45031</v>
      </c>
      <c r="E76" s="13">
        <v>45035</v>
      </c>
      <c r="F76" s="13">
        <v>45048</v>
      </c>
      <c r="G76" s="12"/>
      <c r="H76" s="12"/>
      <c r="I76" s="14">
        <f t="shared" si="7"/>
        <v>1</v>
      </c>
      <c r="J76" s="29">
        <f t="shared" si="8"/>
        <v>13</v>
      </c>
      <c r="N76" s="31"/>
      <c r="Q76" s="36"/>
      <c r="R76" s="36"/>
      <c r="S76" s="36"/>
    </row>
    <row r="77" spans="1:19">
      <c r="A77" s="24">
        <v>278</v>
      </c>
      <c r="B77" s="15">
        <v>21733</v>
      </c>
      <c r="C77" s="16" t="s">
        <v>32</v>
      </c>
      <c r="D77" s="17">
        <v>45026</v>
      </c>
      <c r="E77" s="17">
        <v>45026</v>
      </c>
      <c r="F77" s="17">
        <v>45035</v>
      </c>
      <c r="G77" s="16"/>
      <c r="H77" s="16"/>
      <c r="I77" s="18">
        <f t="shared" si="7"/>
        <v>1</v>
      </c>
      <c r="J77" s="29">
        <f t="shared" si="8"/>
        <v>9</v>
      </c>
      <c r="N77" s="31"/>
      <c r="Q77" s="36"/>
      <c r="R77" s="36"/>
      <c r="S77" s="36"/>
    </row>
    <row r="78" spans="1:19">
      <c r="A78" s="23">
        <v>280</v>
      </c>
      <c r="B78" s="11">
        <v>19699</v>
      </c>
      <c r="C78" s="12" t="s">
        <v>32</v>
      </c>
      <c r="D78" s="13">
        <v>45021</v>
      </c>
      <c r="E78" s="13">
        <v>45021</v>
      </c>
      <c r="F78" s="13">
        <v>45040</v>
      </c>
      <c r="G78" s="12"/>
      <c r="H78" s="12"/>
      <c r="I78" s="14">
        <f t="shared" si="7"/>
        <v>1</v>
      </c>
      <c r="J78" s="29">
        <f t="shared" si="8"/>
        <v>19</v>
      </c>
      <c r="N78" s="31"/>
      <c r="Q78" s="36"/>
      <c r="R78" s="36"/>
      <c r="S78" s="36"/>
    </row>
    <row r="79" spans="1:19">
      <c r="A79" s="24">
        <v>285</v>
      </c>
      <c r="B79" s="15">
        <v>11849</v>
      </c>
      <c r="C79" s="16" t="s">
        <v>32</v>
      </c>
      <c r="D79" s="17">
        <v>45045</v>
      </c>
      <c r="E79" s="17">
        <v>45047</v>
      </c>
      <c r="F79" s="17">
        <v>45051</v>
      </c>
      <c r="G79" s="16"/>
      <c r="H79" s="16"/>
      <c r="I79" s="18">
        <f t="shared" si="7"/>
        <v>1</v>
      </c>
      <c r="J79" s="29">
        <f t="shared" si="8"/>
        <v>4</v>
      </c>
      <c r="N79" s="31"/>
      <c r="Q79" s="36"/>
      <c r="R79" s="36"/>
      <c r="S79" s="36"/>
    </row>
    <row r="80" spans="1:19">
      <c r="A80" s="23">
        <v>291</v>
      </c>
      <c r="B80" s="11">
        <v>12603</v>
      </c>
      <c r="C80" s="12" t="s">
        <v>32</v>
      </c>
      <c r="D80" s="13">
        <v>45070</v>
      </c>
      <c r="E80" s="13">
        <v>45071</v>
      </c>
      <c r="F80" s="13">
        <v>45096</v>
      </c>
      <c r="G80" s="12"/>
      <c r="H80" s="12"/>
      <c r="I80" s="14">
        <f t="shared" si="7"/>
        <v>1</v>
      </c>
      <c r="J80" s="29">
        <f t="shared" si="8"/>
        <v>25</v>
      </c>
      <c r="N80" s="31"/>
      <c r="Q80" s="36"/>
      <c r="R80" s="36"/>
      <c r="S80" s="36"/>
    </row>
    <row r="81" spans="1:19">
      <c r="A81" s="11">
        <v>4</v>
      </c>
      <c r="B81" s="11">
        <v>24108</v>
      </c>
      <c r="C81" s="12" t="s">
        <v>33</v>
      </c>
      <c r="D81" s="13">
        <v>44999</v>
      </c>
      <c r="E81" s="13">
        <v>44999</v>
      </c>
      <c r="F81" s="12"/>
      <c r="G81" s="13">
        <v>45009</v>
      </c>
      <c r="H81" s="13">
        <v>45015</v>
      </c>
      <c r="I81">
        <f t="shared" si="7"/>
        <v>0</v>
      </c>
      <c r="J81" t="s">
        <v>58</v>
      </c>
      <c r="K81" s="38">
        <f>COUNT(B81:B145)</f>
        <v>65</v>
      </c>
      <c r="L81" s="38">
        <f>SUM(I81:I145)</f>
        <v>62</v>
      </c>
      <c r="M81" s="39">
        <f>L81/K81</f>
        <v>0.9538461538461539</v>
      </c>
      <c r="N81" s="40">
        <f>AVERAGE(Table5[[Days Between Initial Discharge and PDV ]])</f>
        <v>13.132075471698114</v>
      </c>
      <c r="O81" s="38">
        <f>COUNTA(Table5[Readmission Date])</f>
        <v>14</v>
      </c>
      <c r="P81" s="41">
        <f>O81/K81</f>
        <v>0.2153846153846154</v>
      </c>
      <c r="Q81">
        <v>12</v>
      </c>
      <c r="R81" s="41">
        <f>'IL-1A'!Q81/'IL-1A'!O81</f>
        <v>0.8571428571428571</v>
      </c>
      <c r="S81" s="42">
        <f>2/O81</f>
        <v>0.14285714285714285</v>
      </c>
    </row>
    <row r="82" spans="1:19">
      <c r="A82" s="15">
        <v>8</v>
      </c>
      <c r="B82" s="15">
        <v>18925</v>
      </c>
      <c r="C82" s="16" t="s">
        <v>33</v>
      </c>
      <c r="D82" s="17">
        <v>45056</v>
      </c>
      <c r="E82" s="17">
        <v>45056</v>
      </c>
      <c r="F82" s="16"/>
      <c r="G82" s="17">
        <v>45077</v>
      </c>
      <c r="H82" s="17">
        <v>45084</v>
      </c>
      <c r="I82">
        <f t="shared" ref="I82:I145" si="9">IF(ISBLANK(F82),0,1)</f>
        <v>0</v>
      </c>
      <c r="J82" t="s">
        <v>58</v>
      </c>
    </row>
    <row r="83" spans="1:19">
      <c r="A83" s="11">
        <v>12</v>
      </c>
      <c r="B83" s="11">
        <v>29818</v>
      </c>
      <c r="C83" s="12" t="s">
        <v>33</v>
      </c>
      <c r="D83" s="13">
        <v>45027</v>
      </c>
      <c r="E83" s="13">
        <v>45027</v>
      </c>
      <c r="F83" s="13">
        <v>45035</v>
      </c>
      <c r="G83" s="12"/>
      <c r="H83" s="12"/>
      <c r="I83">
        <f t="shared" si="9"/>
        <v>1</v>
      </c>
      <c r="J83">
        <f t="shared" ref="J83:J114" si="10">DATEDIF(E83,F83,"d")</f>
        <v>8</v>
      </c>
    </row>
    <row r="84" spans="1:19">
      <c r="A84" s="15">
        <v>13</v>
      </c>
      <c r="B84" s="15">
        <v>26981</v>
      </c>
      <c r="C84" s="16" t="s">
        <v>33</v>
      </c>
      <c r="D84" s="17">
        <v>44975</v>
      </c>
      <c r="E84" s="17">
        <v>44975</v>
      </c>
      <c r="F84" s="17">
        <v>44982</v>
      </c>
      <c r="G84" s="16"/>
      <c r="H84" s="16"/>
      <c r="I84">
        <f t="shared" si="9"/>
        <v>1</v>
      </c>
      <c r="J84">
        <f t="shared" si="10"/>
        <v>7</v>
      </c>
    </row>
    <row r="85" spans="1:19">
      <c r="A85" s="11">
        <v>15</v>
      </c>
      <c r="B85" s="11">
        <v>16967</v>
      </c>
      <c r="C85" s="12" t="s">
        <v>33</v>
      </c>
      <c r="D85" s="13">
        <v>45019</v>
      </c>
      <c r="E85" s="13">
        <v>45019</v>
      </c>
      <c r="F85" s="13">
        <v>45027</v>
      </c>
      <c r="G85" s="12"/>
      <c r="H85" s="12"/>
      <c r="I85">
        <f t="shared" si="9"/>
        <v>1</v>
      </c>
      <c r="J85">
        <f t="shared" si="10"/>
        <v>8</v>
      </c>
    </row>
    <row r="86" spans="1:19">
      <c r="A86" s="15">
        <v>27</v>
      </c>
      <c r="B86" s="15">
        <v>25502</v>
      </c>
      <c r="C86" s="16" t="s">
        <v>33</v>
      </c>
      <c r="D86" s="17">
        <v>44967</v>
      </c>
      <c r="E86" s="17">
        <v>44968</v>
      </c>
      <c r="F86" s="17">
        <v>44970</v>
      </c>
      <c r="G86" s="16"/>
      <c r="H86" s="16"/>
      <c r="I86">
        <f t="shared" si="9"/>
        <v>1</v>
      </c>
      <c r="J86">
        <f t="shared" si="10"/>
        <v>2</v>
      </c>
    </row>
    <row r="87" spans="1:19">
      <c r="A87" s="11">
        <v>32</v>
      </c>
      <c r="B87" s="11">
        <v>14926</v>
      </c>
      <c r="C87" s="12" t="s">
        <v>33</v>
      </c>
      <c r="D87" s="13">
        <v>44943</v>
      </c>
      <c r="E87" s="13">
        <v>44947</v>
      </c>
      <c r="F87" s="13">
        <v>44971</v>
      </c>
      <c r="G87" s="12"/>
      <c r="H87" s="12"/>
      <c r="I87">
        <f t="shared" si="9"/>
        <v>1</v>
      </c>
      <c r="J87">
        <f t="shared" si="10"/>
        <v>24</v>
      </c>
    </row>
    <row r="88" spans="1:19">
      <c r="A88" s="15">
        <v>37</v>
      </c>
      <c r="B88" s="15">
        <v>12945</v>
      </c>
      <c r="C88" s="16" t="s">
        <v>33</v>
      </c>
      <c r="D88" s="17">
        <v>45057</v>
      </c>
      <c r="E88" s="17">
        <v>45059</v>
      </c>
      <c r="F88" s="17">
        <v>45060</v>
      </c>
      <c r="G88" s="16"/>
      <c r="H88" s="16"/>
      <c r="I88">
        <f t="shared" si="9"/>
        <v>1</v>
      </c>
      <c r="J88">
        <f t="shared" si="10"/>
        <v>1</v>
      </c>
    </row>
    <row r="89" spans="1:19">
      <c r="A89" s="11">
        <v>38</v>
      </c>
      <c r="B89" s="11">
        <v>16361</v>
      </c>
      <c r="C89" s="12" t="s">
        <v>33</v>
      </c>
      <c r="D89" s="13">
        <v>45000</v>
      </c>
      <c r="E89" s="13">
        <v>45003</v>
      </c>
      <c r="F89" s="13">
        <v>45009</v>
      </c>
      <c r="G89" s="12"/>
      <c r="H89" s="12"/>
      <c r="I89">
        <f t="shared" si="9"/>
        <v>1</v>
      </c>
      <c r="J89">
        <f t="shared" si="10"/>
        <v>6</v>
      </c>
    </row>
    <row r="90" spans="1:19">
      <c r="A90" s="15">
        <v>51</v>
      </c>
      <c r="B90" s="15">
        <v>12767</v>
      </c>
      <c r="C90" s="16" t="s">
        <v>33</v>
      </c>
      <c r="D90" s="17">
        <v>45040</v>
      </c>
      <c r="E90" s="17">
        <v>45046</v>
      </c>
      <c r="F90" s="17">
        <v>45060</v>
      </c>
      <c r="G90" s="16"/>
      <c r="H90" s="16"/>
      <c r="I90">
        <f t="shared" si="9"/>
        <v>1</v>
      </c>
      <c r="J90">
        <f t="shared" si="10"/>
        <v>14</v>
      </c>
    </row>
    <row r="91" spans="1:19">
      <c r="A91" s="11">
        <v>61</v>
      </c>
      <c r="B91" s="11">
        <v>10196</v>
      </c>
      <c r="C91" s="12" t="s">
        <v>33</v>
      </c>
      <c r="D91" s="13">
        <v>45007</v>
      </c>
      <c r="E91" s="13">
        <v>45007</v>
      </c>
      <c r="F91" s="13">
        <v>45009</v>
      </c>
      <c r="G91" s="12"/>
      <c r="H91" s="12"/>
      <c r="I91">
        <f t="shared" si="9"/>
        <v>1</v>
      </c>
      <c r="J91">
        <f t="shared" si="10"/>
        <v>2</v>
      </c>
    </row>
    <row r="92" spans="1:19">
      <c r="A92" s="15">
        <v>68</v>
      </c>
      <c r="B92" s="15">
        <v>24201</v>
      </c>
      <c r="C92" s="16" t="s">
        <v>33</v>
      </c>
      <c r="D92" s="17">
        <v>44977</v>
      </c>
      <c r="E92" s="17">
        <v>44983</v>
      </c>
      <c r="F92" s="17">
        <v>45008</v>
      </c>
      <c r="G92" s="16"/>
      <c r="H92" s="16"/>
      <c r="I92">
        <f t="shared" si="9"/>
        <v>1</v>
      </c>
      <c r="J92">
        <f t="shared" si="10"/>
        <v>25</v>
      </c>
    </row>
    <row r="93" spans="1:19">
      <c r="A93" s="11">
        <v>71</v>
      </c>
      <c r="B93" s="11">
        <v>29380</v>
      </c>
      <c r="C93" s="12" t="s">
        <v>33</v>
      </c>
      <c r="D93" s="13">
        <v>45030</v>
      </c>
      <c r="E93" s="13">
        <v>45036</v>
      </c>
      <c r="F93" s="13">
        <v>45048</v>
      </c>
      <c r="G93" s="12"/>
      <c r="H93" s="12"/>
      <c r="I93">
        <f t="shared" si="9"/>
        <v>1</v>
      </c>
      <c r="J93">
        <f t="shared" si="10"/>
        <v>12</v>
      </c>
    </row>
    <row r="94" spans="1:19">
      <c r="A94" s="15">
        <v>75</v>
      </c>
      <c r="B94" s="15">
        <v>17260</v>
      </c>
      <c r="C94" s="16" t="s">
        <v>33</v>
      </c>
      <c r="D94" s="17">
        <v>44941</v>
      </c>
      <c r="E94" s="17">
        <v>44941</v>
      </c>
      <c r="F94" s="17">
        <v>44965</v>
      </c>
      <c r="G94" s="16"/>
      <c r="H94" s="16"/>
      <c r="I94">
        <f t="shared" si="9"/>
        <v>1</v>
      </c>
      <c r="J94">
        <f t="shared" si="10"/>
        <v>24</v>
      </c>
    </row>
    <row r="95" spans="1:19">
      <c r="A95" s="11">
        <v>77</v>
      </c>
      <c r="B95" s="11">
        <v>23936</v>
      </c>
      <c r="C95" s="12" t="s">
        <v>33</v>
      </c>
      <c r="D95" s="13">
        <v>44980</v>
      </c>
      <c r="E95" s="13">
        <v>44983</v>
      </c>
      <c r="F95" s="13">
        <v>44984</v>
      </c>
      <c r="G95" s="13">
        <v>44990</v>
      </c>
      <c r="H95" s="13">
        <v>44993</v>
      </c>
      <c r="I95">
        <f t="shared" si="9"/>
        <v>1</v>
      </c>
      <c r="J95">
        <f t="shared" si="10"/>
        <v>1</v>
      </c>
    </row>
    <row r="96" spans="1:19">
      <c r="A96" s="15">
        <v>78</v>
      </c>
      <c r="B96" s="15">
        <v>28080</v>
      </c>
      <c r="C96" s="16" t="s">
        <v>33</v>
      </c>
      <c r="D96" s="17">
        <v>45006</v>
      </c>
      <c r="E96" s="17">
        <v>45011</v>
      </c>
      <c r="F96" s="17">
        <v>45012</v>
      </c>
      <c r="G96" s="17">
        <v>45037</v>
      </c>
      <c r="H96" s="17">
        <v>45041</v>
      </c>
      <c r="I96">
        <f t="shared" si="9"/>
        <v>1</v>
      </c>
      <c r="J96">
        <f t="shared" si="10"/>
        <v>1</v>
      </c>
    </row>
    <row r="97" spans="1:10">
      <c r="A97" s="11">
        <v>80</v>
      </c>
      <c r="B97" s="11">
        <v>14196</v>
      </c>
      <c r="C97" s="12" t="s">
        <v>33</v>
      </c>
      <c r="D97" s="13">
        <v>44963</v>
      </c>
      <c r="E97" s="13">
        <v>44965</v>
      </c>
      <c r="F97" s="13">
        <v>44969</v>
      </c>
      <c r="G97" s="13">
        <v>44969</v>
      </c>
      <c r="H97" s="13">
        <v>44972</v>
      </c>
      <c r="I97">
        <f t="shared" si="9"/>
        <v>1</v>
      </c>
      <c r="J97">
        <f t="shared" si="10"/>
        <v>4</v>
      </c>
    </row>
    <row r="98" spans="1:10">
      <c r="A98" s="15">
        <v>84</v>
      </c>
      <c r="B98" s="15">
        <v>21446</v>
      </c>
      <c r="C98" s="16" t="s">
        <v>33</v>
      </c>
      <c r="D98" s="17">
        <v>44995</v>
      </c>
      <c r="E98" s="17">
        <v>44998</v>
      </c>
      <c r="F98" s="17">
        <v>45012</v>
      </c>
      <c r="G98" s="17">
        <v>45016</v>
      </c>
      <c r="H98" s="17">
        <v>45022</v>
      </c>
      <c r="I98">
        <f t="shared" si="9"/>
        <v>1</v>
      </c>
      <c r="J98">
        <f t="shared" si="10"/>
        <v>14</v>
      </c>
    </row>
    <row r="99" spans="1:10">
      <c r="A99" s="11">
        <v>85</v>
      </c>
      <c r="B99" s="11">
        <v>27148</v>
      </c>
      <c r="C99" s="12" t="s">
        <v>33</v>
      </c>
      <c r="D99" s="13">
        <v>44950</v>
      </c>
      <c r="E99" s="13">
        <v>44953</v>
      </c>
      <c r="F99" s="13">
        <v>44956</v>
      </c>
      <c r="G99" s="13">
        <v>44960</v>
      </c>
      <c r="H99" s="13">
        <v>44967</v>
      </c>
      <c r="I99">
        <f t="shared" si="9"/>
        <v>1</v>
      </c>
      <c r="J99">
        <f t="shared" si="10"/>
        <v>3</v>
      </c>
    </row>
    <row r="100" spans="1:10">
      <c r="A100" s="15">
        <v>92</v>
      </c>
      <c r="B100" s="15">
        <v>25488</v>
      </c>
      <c r="C100" s="16" t="s">
        <v>33</v>
      </c>
      <c r="D100" s="17">
        <v>45068</v>
      </c>
      <c r="E100" s="17">
        <v>45072</v>
      </c>
      <c r="F100" s="17">
        <v>45075</v>
      </c>
      <c r="G100" s="16"/>
      <c r="H100" s="16"/>
      <c r="I100">
        <f t="shared" si="9"/>
        <v>1</v>
      </c>
      <c r="J100">
        <f t="shared" si="10"/>
        <v>3</v>
      </c>
    </row>
    <row r="101" spans="1:10">
      <c r="A101" s="11">
        <v>93</v>
      </c>
      <c r="B101" s="11">
        <v>13734</v>
      </c>
      <c r="C101" s="12" t="s">
        <v>33</v>
      </c>
      <c r="D101" s="13">
        <v>44998</v>
      </c>
      <c r="E101" s="13">
        <v>45001</v>
      </c>
      <c r="F101" s="13">
        <v>45008</v>
      </c>
      <c r="G101" s="12"/>
      <c r="H101" s="12"/>
      <c r="I101">
        <f t="shared" si="9"/>
        <v>1</v>
      </c>
      <c r="J101">
        <f t="shared" si="10"/>
        <v>7</v>
      </c>
    </row>
    <row r="102" spans="1:10">
      <c r="A102" s="15">
        <v>94</v>
      </c>
      <c r="B102" s="15">
        <v>11621</v>
      </c>
      <c r="C102" s="16" t="s">
        <v>33</v>
      </c>
      <c r="D102" s="17">
        <v>44930</v>
      </c>
      <c r="E102" s="17">
        <v>44933</v>
      </c>
      <c r="F102" s="17">
        <v>44946</v>
      </c>
      <c r="G102" s="16"/>
      <c r="H102" s="16"/>
      <c r="I102">
        <f t="shared" si="9"/>
        <v>1</v>
      </c>
      <c r="J102">
        <f t="shared" si="10"/>
        <v>13</v>
      </c>
    </row>
    <row r="103" spans="1:10">
      <c r="A103" s="11">
        <v>97</v>
      </c>
      <c r="B103" s="11">
        <v>12031</v>
      </c>
      <c r="C103" s="12" t="s">
        <v>33</v>
      </c>
      <c r="D103" s="13">
        <v>45011</v>
      </c>
      <c r="E103" s="13">
        <v>45012</v>
      </c>
      <c r="F103" s="13">
        <v>45029</v>
      </c>
      <c r="G103" s="12"/>
      <c r="H103" s="12"/>
      <c r="I103">
        <f t="shared" si="9"/>
        <v>1</v>
      </c>
      <c r="J103">
        <f t="shared" si="10"/>
        <v>17</v>
      </c>
    </row>
    <row r="104" spans="1:10">
      <c r="A104" s="15">
        <v>99</v>
      </c>
      <c r="B104" s="15">
        <v>28681</v>
      </c>
      <c r="C104" s="16" t="s">
        <v>33</v>
      </c>
      <c r="D104" s="17">
        <v>45057</v>
      </c>
      <c r="E104" s="17">
        <v>45063</v>
      </c>
      <c r="F104" s="17">
        <v>45080</v>
      </c>
      <c r="G104" s="16"/>
      <c r="H104" s="16"/>
      <c r="I104">
        <f t="shared" si="9"/>
        <v>1</v>
      </c>
      <c r="J104">
        <f t="shared" si="10"/>
        <v>17</v>
      </c>
    </row>
    <row r="105" spans="1:10">
      <c r="A105" s="11">
        <v>101</v>
      </c>
      <c r="B105" s="11">
        <v>13579</v>
      </c>
      <c r="C105" s="12" t="s">
        <v>33</v>
      </c>
      <c r="D105" s="13">
        <v>44988</v>
      </c>
      <c r="E105" s="13">
        <v>44989</v>
      </c>
      <c r="F105" s="13">
        <v>45008</v>
      </c>
      <c r="G105" s="12"/>
      <c r="H105" s="12"/>
      <c r="I105">
        <f t="shared" si="9"/>
        <v>1</v>
      </c>
      <c r="J105">
        <f t="shared" si="10"/>
        <v>19</v>
      </c>
    </row>
    <row r="106" spans="1:10">
      <c r="A106" s="15">
        <v>106</v>
      </c>
      <c r="B106" s="15">
        <v>16239</v>
      </c>
      <c r="C106" s="16" t="s">
        <v>33</v>
      </c>
      <c r="D106" s="17">
        <v>44931</v>
      </c>
      <c r="E106" s="17">
        <v>44934</v>
      </c>
      <c r="F106" s="17">
        <v>44948</v>
      </c>
      <c r="G106" s="16"/>
      <c r="H106" s="16"/>
      <c r="I106">
        <f t="shared" si="9"/>
        <v>1</v>
      </c>
      <c r="J106">
        <f t="shared" si="10"/>
        <v>14</v>
      </c>
    </row>
    <row r="107" spans="1:10">
      <c r="A107" s="11">
        <v>114</v>
      </c>
      <c r="B107" s="11">
        <v>28465</v>
      </c>
      <c r="C107" s="12" t="s">
        <v>33</v>
      </c>
      <c r="D107" s="13">
        <v>44970</v>
      </c>
      <c r="E107" s="13">
        <v>44976</v>
      </c>
      <c r="F107" s="13">
        <v>44990</v>
      </c>
      <c r="G107" s="12"/>
      <c r="H107" s="12"/>
      <c r="I107">
        <f t="shared" si="9"/>
        <v>1</v>
      </c>
      <c r="J107">
        <f t="shared" si="10"/>
        <v>14</v>
      </c>
    </row>
    <row r="108" spans="1:10">
      <c r="A108" s="15">
        <v>127</v>
      </c>
      <c r="B108" s="15">
        <v>28235</v>
      </c>
      <c r="C108" s="16" t="s">
        <v>33</v>
      </c>
      <c r="D108" s="17">
        <v>44960</v>
      </c>
      <c r="E108" s="17">
        <v>44962</v>
      </c>
      <c r="F108" s="17">
        <v>44975</v>
      </c>
      <c r="G108" s="16"/>
      <c r="H108" s="16"/>
      <c r="I108">
        <f t="shared" si="9"/>
        <v>1</v>
      </c>
      <c r="J108">
        <f t="shared" si="10"/>
        <v>13</v>
      </c>
    </row>
    <row r="109" spans="1:10">
      <c r="A109" s="11">
        <v>131</v>
      </c>
      <c r="B109" s="11">
        <v>25600</v>
      </c>
      <c r="C109" s="12" t="s">
        <v>33</v>
      </c>
      <c r="D109" s="13">
        <v>45047</v>
      </c>
      <c r="E109" s="13">
        <v>45049</v>
      </c>
      <c r="F109" s="13">
        <v>45071</v>
      </c>
      <c r="G109" s="12"/>
      <c r="H109" s="12"/>
      <c r="I109">
        <f t="shared" si="9"/>
        <v>1</v>
      </c>
      <c r="J109">
        <f t="shared" si="10"/>
        <v>22</v>
      </c>
    </row>
    <row r="110" spans="1:10">
      <c r="A110" s="15">
        <v>134</v>
      </c>
      <c r="B110" s="15">
        <v>22778</v>
      </c>
      <c r="C110" s="16" t="s">
        <v>33</v>
      </c>
      <c r="D110" s="17">
        <v>44959</v>
      </c>
      <c r="E110" s="17">
        <v>44964</v>
      </c>
      <c r="F110" s="17">
        <v>44986</v>
      </c>
      <c r="G110" s="16"/>
      <c r="H110" s="16"/>
      <c r="I110">
        <f t="shared" si="9"/>
        <v>1</v>
      </c>
      <c r="J110">
        <f t="shared" si="10"/>
        <v>22</v>
      </c>
    </row>
    <row r="111" spans="1:10">
      <c r="A111" s="11">
        <v>142</v>
      </c>
      <c r="B111" s="11">
        <v>24405</v>
      </c>
      <c r="C111" s="12" t="s">
        <v>33</v>
      </c>
      <c r="D111" s="13">
        <v>44949</v>
      </c>
      <c r="E111" s="13">
        <v>44953</v>
      </c>
      <c r="F111" s="13">
        <v>44969</v>
      </c>
      <c r="G111" s="12"/>
      <c r="H111" s="12"/>
      <c r="I111">
        <f t="shared" si="9"/>
        <v>1</v>
      </c>
      <c r="J111">
        <f t="shared" si="10"/>
        <v>16</v>
      </c>
    </row>
    <row r="112" spans="1:10">
      <c r="A112" s="15">
        <v>148</v>
      </c>
      <c r="B112" s="15">
        <v>10012</v>
      </c>
      <c r="C112" s="16" t="s">
        <v>33</v>
      </c>
      <c r="D112" s="17">
        <v>45072</v>
      </c>
      <c r="E112" s="17">
        <v>45072</v>
      </c>
      <c r="F112" s="17">
        <v>45092</v>
      </c>
      <c r="G112" s="16"/>
      <c r="H112" s="16"/>
      <c r="I112">
        <f t="shared" si="9"/>
        <v>1</v>
      </c>
      <c r="J112">
        <f t="shared" si="10"/>
        <v>20</v>
      </c>
    </row>
    <row r="113" spans="1:10">
      <c r="A113" s="11">
        <v>157</v>
      </c>
      <c r="B113" s="11">
        <v>17595</v>
      </c>
      <c r="C113" s="12" t="s">
        <v>33</v>
      </c>
      <c r="D113" s="13">
        <v>44948</v>
      </c>
      <c r="E113" s="13">
        <v>44952</v>
      </c>
      <c r="F113" s="13">
        <v>44981</v>
      </c>
      <c r="G113" s="12"/>
      <c r="H113" s="12"/>
      <c r="I113">
        <f t="shared" si="9"/>
        <v>1</v>
      </c>
      <c r="J113">
        <f t="shared" si="10"/>
        <v>29</v>
      </c>
    </row>
    <row r="114" spans="1:10">
      <c r="A114" s="15">
        <v>158</v>
      </c>
      <c r="B114" s="15">
        <v>14728</v>
      </c>
      <c r="C114" s="16" t="s">
        <v>33</v>
      </c>
      <c r="D114" s="17">
        <v>44961</v>
      </c>
      <c r="E114" s="17">
        <v>44967</v>
      </c>
      <c r="F114" s="17">
        <v>44981</v>
      </c>
      <c r="G114" s="17">
        <v>44993</v>
      </c>
      <c r="H114" s="17">
        <v>44996</v>
      </c>
      <c r="I114">
        <f t="shared" si="9"/>
        <v>1</v>
      </c>
      <c r="J114">
        <f t="shared" si="10"/>
        <v>14</v>
      </c>
    </row>
    <row r="115" spans="1:10">
      <c r="A115" s="11">
        <v>159</v>
      </c>
      <c r="B115" s="11">
        <v>28928</v>
      </c>
      <c r="C115" s="12" t="s">
        <v>33</v>
      </c>
      <c r="D115" s="13">
        <v>45023</v>
      </c>
      <c r="E115" s="13">
        <v>45024</v>
      </c>
      <c r="F115" s="13">
        <v>45033</v>
      </c>
      <c r="G115" s="13">
        <v>45033</v>
      </c>
      <c r="H115" s="13">
        <v>45037</v>
      </c>
      <c r="I115">
        <f t="shared" si="9"/>
        <v>1</v>
      </c>
      <c r="J115">
        <f t="shared" ref="J115:J139" si="11">DATEDIF(E115,F115,"d")</f>
        <v>9</v>
      </c>
    </row>
    <row r="116" spans="1:10">
      <c r="A116" s="15">
        <v>160</v>
      </c>
      <c r="B116" s="15">
        <v>18601</v>
      </c>
      <c r="C116" s="16" t="s">
        <v>33</v>
      </c>
      <c r="D116" s="17">
        <v>45064</v>
      </c>
      <c r="E116" s="17">
        <v>45065</v>
      </c>
      <c r="F116" s="17">
        <v>45076</v>
      </c>
      <c r="G116" s="16"/>
      <c r="H116" s="16"/>
      <c r="I116">
        <f t="shared" si="9"/>
        <v>1</v>
      </c>
      <c r="J116">
        <f t="shared" si="11"/>
        <v>11</v>
      </c>
    </row>
    <row r="117" spans="1:10">
      <c r="A117" s="11">
        <v>164</v>
      </c>
      <c r="B117" s="11">
        <v>11551</v>
      </c>
      <c r="C117" s="12" t="s">
        <v>33</v>
      </c>
      <c r="D117" s="13">
        <v>44982</v>
      </c>
      <c r="E117" s="13">
        <v>44984</v>
      </c>
      <c r="F117" s="13">
        <v>45008</v>
      </c>
      <c r="G117" s="12"/>
      <c r="H117" s="12"/>
      <c r="I117">
        <f t="shared" si="9"/>
        <v>1</v>
      </c>
      <c r="J117">
        <f t="shared" si="11"/>
        <v>24</v>
      </c>
    </row>
    <row r="118" spans="1:10">
      <c r="A118" s="15">
        <v>170</v>
      </c>
      <c r="B118" s="15">
        <v>22795</v>
      </c>
      <c r="C118" s="16" t="s">
        <v>33</v>
      </c>
      <c r="D118" s="17">
        <v>45045</v>
      </c>
      <c r="E118" s="17">
        <v>45048</v>
      </c>
      <c r="F118" s="17">
        <v>45065</v>
      </c>
      <c r="G118" s="16"/>
      <c r="H118" s="16"/>
      <c r="I118">
        <f t="shared" si="9"/>
        <v>1</v>
      </c>
      <c r="J118">
        <f t="shared" si="11"/>
        <v>17</v>
      </c>
    </row>
    <row r="119" spans="1:10">
      <c r="A119" s="11">
        <v>172</v>
      </c>
      <c r="B119" s="11">
        <v>29986</v>
      </c>
      <c r="C119" s="12" t="s">
        <v>33</v>
      </c>
      <c r="D119" s="13">
        <v>44989</v>
      </c>
      <c r="E119" s="13">
        <v>44991</v>
      </c>
      <c r="F119" s="13">
        <v>45009</v>
      </c>
      <c r="G119" s="12"/>
      <c r="H119" s="12"/>
      <c r="I119">
        <f t="shared" si="9"/>
        <v>1</v>
      </c>
      <c r="J119">
        <f t="shared" si="11"/>
        <v>18</v>
      </c>
    </row>
    <row r="120" spans="1:10">
      <c r="A120" s="15">
        <v>177</v>
      </c>
      <c r="B120" s="15">
        <v>26804</v>
      </c>
      <c r="C120" s="16" t="s">
        <v>33</v>
      </c>
      <c r="D120" s="17">
        <v>44970</v>
      </c>
      <c r="E120" s="17">
        <v>44972</v>
      </c>
      <c r="F120" s="17">
        <v>45001</v>
      </c>
      <c r="G120" s="16"/>
      <c r="H120" s="16"/>
      <c r="I120">
        <f t="shared" si="9"/>
        <v>1</v>
      </c>
      <c r="J120">
        <f t="shared" si="11"/>
        <v>29</v>
      </c>
    </row>
    <row r="121" spans="1:10">
      <c r="A121" s="11">
        <v>180</v>
      </c>
      <c r="B121" s="11">
        <v>21692</v>
      </c>
      <c r="C121" s="12" t="s">
        <v>33</v>
      </c>
      <c r="D121" s="13">
        <v>44997</v>
      </c>
      <c r="E121" s="13">
        <v>45003</v>
      </c>
      <c r="F121" s="13">
        <v>45009</v>
      </c>
      <c r="G121" s="12"/>
      <c r="H121" s="12"/>
      <c r="I121">
        <f t="shared" si="9"/>
        <v>1</v>
      </c>
      <c r="J121">
        <f t="shared" si="11"/>
        <v>6</v>
      </c>
    </row>
    <row r="122" spans="1:10">
      <c r="A122" s="15">
        <v>183</v>
      </c>
      <c r="B122" s="15">
        <v>12842</v>
      </c>
      <c r="C122" s="16" t="s">
        <v>33</v>
      </c>
      <c r="D122" s="17">
        <v>44992</v>
      </c>
      <c r="E122" s="17">
        <v>44998</v>
      </c>
      <c r="F122" s="17">
        <v>44998</v>
      </c>
      <c r="G122" s="16"/>
      <c r="H122" s="16"/>
      <c r="I122">
        <f t="shared" si="9"/>
        <v>1</v>
      </c>
      <c r="J122">
        <f t="shared" si="11"/>
        <v>0</v>
      </c>
    </row>
    <row r="123" spans="1:10">
      <c r="A123" s="11">
        <v>188</v>
      </c>
      <c r="B123" s="11">
        <v>14073</v>
      </c>
      <c r="C123" s="12" t="s">
        <v>33</v>
      </c>
      <c r="D123" s="13">
        <v>44948</v>
      </c>
      <c r="E123" s="13">
        <v>44952</v>
      </c>
      <c r="F123" s="13">
        <v>44974</v>
      </c>
      <c r="G123" s="12"/>
      <c r="H123" s="12"/>
      <c r="I123">
        <f t="shared" si="9"/>
        <v>1</v>
      </c>
      <c r="J123">
        <f t="shared" si="11"/>
        <v>22</v>
      </c>
    </row>
    <row r="124" spans="1:10">
      <c r="A124" s="15">
        <v>190</v>
      </c>
      <c r="B124" s="15">
        <v>15675</v>
      </c>
      <c r="C124" s="16" t="s">
        <v>33</v>
      </c>
      <c r="D124" s="17">
        <v>45033</v>
      </c>
      <c r="E124" s="17">
        <v>45034</v>
      </c>
      <c r="F124" s="17">
        <v>45040</v>
      </c>
      <c r="G124" s="16"/>
      <c r="H124" s="16"/>
      <c r="I124">
        <f t="shared" si="9"/>
        <v>1</v>
      </c>
      <c r="J124">
        <f t="shared" si="11"/>
        <v>6</v>
      </c>
    </row>
    <row r="125" spans="1:10">
      <c r="A125" s="11">
        <v>191</v>
      </c>
      <c r="B125" s="11">
        <v>27106</v>
      </c>
      <c r="C125" s="12" t="s">
        <v>33</v>
      </c>
      <c r="D125" s="13">
        <v>44959</v>
      </c>
      <c r="E125" s="13">
        <v>44960</v>
      </c>
      <c r="F125" s="13">
        <v>44977</v>
      </c>
      <c r="G125" s="12"/>
      <c r="H125" s="12"/>
      <c r="I125">
        <f t="shared" si="9"/>
        <v>1</v>
      </c>
      <c r="J125">
        <f t="shared" si="11"/>
        <v>17</v>
      </c>
    </row>
    <row r="126" spans="1:10">
      <c r="A126" s="15">
        <v>204</v>
      </c>
      <c r="B126" s="15">
        <v>22717</v>
      </c>
      <c r="C126" s="16" t="s">
        <v>33</v>
      </c>
      <c r="D126" s="17">
        <v>45041</v>
      </c>
      <c r="E126" s="17">
        <v>45044</v>
      </c>
      <c r="F126" s="17">
        <v>45061</v>
      </c>
      <c r="G126" s="16"/>
      <c r="H126" s="16"/>
      <c r="I126">
        <f t="shared" si="9"/>
        <v>1</v>
      </c>
      <c r="J126">
        <f t="shared" si="11"/>
        <v>17</v>
      </c>
    </row>
    <row r="127" spans="1:10">
      <c r="A127" s="11">
        <v>208</v>
      </c>
      <c r="B127" s="11">
        <v>20720</v>
      </c>
      <c r="C127" s="12" t="s">
        <v>33</v>
      </c>
      <c r="D127" s="13">
        <v>44983</v>
      </c>
      <c r="E127" s="13">
        <v>44983</v>
      </c>
      <c r="F127" s="13">
        <v>45009</v>
      </c>
      <c r="G127" s="12"/>
      <c r="H127" s="12"/>
      <c r="I127">
        <f t="shared" si="9"/>
        <v>1</v>
      </c>
      <c r="J127">
        <f t="shared" si="11"/>
        <v>26</v>
      </c>
    </row>
    <row r="128" spans="1:10">
      <c r="A128" s="15">
        <v>209</v>
      </c>
      <c r="B128" s="15">
        <v>20573</v>
      </c>
      <c r="C128" s="16" t="s">
        <v>33</v>
      </c>
      <c r="D128" s="17">
        <v>45067</v>
      </c>
      <c r="E128" s="17">
        <v>45069</v>
      </c>
      <c r="F128" s="17">
        <v>45071</v>
      </c>
      <c r="G128" s="17">
        <v>45086</v>
      </c>
      <c r="H128" s="17">
        <v>45093</v>
      </c>
      <c r="I128">
        <f t="shared" si="9"/>
        <v>1</v>
      </c>
      <c r="J128">
        <f t="shared" si="11"/>
        <v>2</v>
      </c>
    </row>
    <row r="129" spans="1:10">
      <c r="A129" s="11">
        <v>216</v>
      </c>
      <c r="B129" s="11">
        <v>21409</v>
      </c>
      <c r="C129" s="12" t="s">
        <v>33</v>
      </c>
      <c r="D129" s="13">
        <v>45034</v>
      </c>
      <c r="E129" s="13">
        <v>45035</v>
      </c>
      <c r="F129" s="13">
        <v>45049</v>
      </c>
      <c r="G129" s="12"/>
      <c r="H129" s="12"/>
      <c r="I129">
        <f t="shared" si="9"/>
        <v>1</v>
      </c>
      <c r="J129">
        <f t="shared" si="11"/>
        <v>14</v>
      </c>
    </row>
    <row r="130" spans="1:10">
      <c r="A130" s="15">
        <v>228</v>
      </c>
      <c r="B130" s="15">
        <v>14375</v>
      </c>
      <c r="C130" s="16" t="s">
        <v>33</v>
      </c>
      <c r="D130" s="17">
        <v>45065</v>
      </c>
      <c r="E130" s="17">
        <v>45065</v>
      </c>
      <c r="F130" s="17">
        <v>45065</v>
      </c>
      <c r="G130" s="16"/>
      <c r="H130" s="16"/>
      <c r="I130">
        <f t="shared" si="9"/>
        <v>1</v>
      </c>
      <c r="J130">
        <f t="shared" si="11"/>
        <v>0</v>
      </c>
    </row>
    <row r="131" spans="1:10">
      <c r="A131" s="11">
        <v>235</v>
      </c>
      <c r="B131" s="11">
        <v>22234</v>
      </c>
      <c r="C131" s="12" t="s">
        <v>33</v>
      </c>
      <c r="D131" s="13">
        <v>45066</v>
      </c>
      <c r="E131" s="13">
        <v>45070</v>
      </c>
      <c r="F131" s="13">
        <v>45092</v>
      </c>
      <c r="G131" s="12"/>
      <c r="H131" s="12"/>
      <c r="I131">
        <f t="shared" si="9"/>
        <v>1</v>
      </c>
      <c r="J131">
        <f t="shared" si="11"/>
        <v>22</v>
      </c>
    </row>
    <row r="132" spans="1:10">
      <c r="A132" s="15">
        <v>239</v>
      </c>
      <c r="B132" s="15">
        <v>25522</v>
      </c>
      <c r="C132" s="16" t="s">
        <v>33</v>
      </c>
      <c r="D132" s="17">
        <v>45007</v>
      </c>
      <c r="E132" s="17">
        <v>45008</v>
      </c>
      <c r="F132" s="17">
        <v>45026</v>
      </c>
      <c r="G132" s="16"/>
      <c r="H132" s="16"/>
      <c r="I132">
        <f t="shared" si="9"/>
        <v>1</v>
      </c>
      <c r="J132">
        <f t="shared" si="11"/>
        <v>18</v>
      </c>
    </row>
    <row r="133" spans="1:10">
      <c r="A133" s="11">
        <v>240</v>
      </c>
      <c r="B133" s="11">
        <v>20423</v>
      </c>
      <c r="C133" s="12" t="s">
        <v>33</v>
      </c>
      <c r="D133" s="13">
        <v>45065</v>
      </c>
      <c r="E133" s="13">
        <v>45068</v>
      </c>
      <c r="F133" s="13">
        <v>45084</v>
      </c>
      <c r="G133" s="12"/>
      <c r="H133" s="12"/>
      <c r="I133">
        <f t="shared" si="9"/>
        <v>1</v>
      </c>
      <c r="J133">
        <f t="shared" si="11"/>
        <v>16</v>
      </c>
    </row>
    <row r="134" spans="1:10">
      <c r="A134" s="15">
        <v>248</v>
      </c>
      <c r="B134" s="15">
        <v>17693</v>
      </c>
      <c r="C134" s="16" t="s">
        <v>33</v>
      </c>
      <c r="D134" s="17">
        <v>44949</v>
      </c>
      <c r="E134" s="17">
        <v>44949</v>
      </c>
      <c r="F134" s="17">
        <v>44966</v>
      </c>
      <c r="G134" s="16"/>
      <c r="H134" s="16"/>
      <c r="I134">
        <f t="shared" si="9"/>
        <v>1</v>
      </c>
      <c r="J134">
        <f t="shared" si="11"/>
        <v>17</v>
      </c>
    </row>
    <row r="135" spans="1:10">
      <c r="A135" s="11">
        <v>253</v>
      </c>
      <c r="B135" s="11">
        <v>27706</v>
      </c>
      <c r="C135" s="12" t="s">
        <v>33</v>
      </c>
      <c r="D135" s="13">
        <v>44953</v>
      </c>
      <c r="E135" s="13">
        <v>44958</v>
      </c>
      <c r="F135" s="13">
        <v>44967</v>
      </c>
      <c r="G135" s="12"/>
      <c r="H135" s="12"/>
      <c r="I135">
        <f t="shared" si="9"/>
        <v>1</v>
      </c>
      <c r="J135">
        <f t="shared" si="11"/>
        <v>9</v>
      </c>
    </row>
    <row r="136" spans="1:10">
      <c r="A136" s="15">
        <v>256</v>
      </c>
      <c r="B136" s="15">
        <v>25104</v>
      </c>
      <c r="C136" s="16" t="s">
        <v>33</v>
      </c>
      <c r="D136" s="17">
        <v>44949</v>
      </c>
      <c r="E136" s="17">
        <v>44952</v>
      </c>
      <c r="F136" s="17">
        <v>44974</v>
      </c>
      <c r="G136" s="16"/>
      <c r="H136" s="16"/>
      <c r="I136">
        <f t="shared" si="9"/>
        <v>1</v>
      </c>
      <c r="J136">
        <f t="shared" si="11"/>
        <v>22</v>
      </c>
    </row>
    <row r="137" spans="1:10">
      <c r="A137" s="11">
        <v>261</v>
      </c>
      <c r="B137" s="11">
        <v>25212</v>
      </c>
      <c r="C137" s="12" t="s">
        <v>33</v>
      </c>
      <c r="D137" s="13">
        <v>45049</v>
      </c>
      <c r="E137" s="13">
        <v>45050</v>
      </c>
      <c r="F137" s="13">
        <v>45056</v>
      </c>
      <c r="G137" s="12"/>
      <c r="H137" s="12"/>
      <c r="I137">
        <f t="shared" si="9"/>
        <v>1</v>
      </c>
      <c r="J137">
        <f t="shared" si="11"/>
        <v>6</v>
      </c>
    </row>
    <row r="138" spans="1:10">
      <c r="A138" s="15">
        <v>265</v>
      </c>
      <c r="B138" s="15">
        <v>11480</v>
      </c>
      <c r="C138" s="16" t="s">
        <v>33</v>
      </c>
      <c r="D138" s="17">
        <v>45065</v>
      </c>
      <c r="E138" s="17">
        <v>45069</v>
      </c>
      <c r="F138" s="17">
        <v>45073</v>
      </c>
      <c r="G138" s="16"/>
      <c r="H138" s="16"/>
      <c r="I138">
        <f t="shared" si="9"/>
        <v>1</v>
      </c>
      <c r="J138">
        <f t="shared" si="11"/>
        <v>4</v>
      </c>
    </row>
    <row r="139" spans="1:10">
      <c r="A139" s="11">
        <v>266</v>
      </c>
      <c r="B139" s="11">
        <v>25537</v>
      </c>
      <c r="C139" s="12" t="s">
        <v>33</v>
      </c>
      <c r="D139" s="13">
        <v>45048</v>
      </c>
      <c r="E139" s="13">
        <v>45053</v>
      </c>
      <c r="F139" s="13">
        <v>45054</v>
      </c>
      <c r="G139" s="13">
        <v>45072</v>
      </c>
      <c r="H139" s="13">
        <v>45077</v>
      </c>
      <c r="I139">
        <f t="shared" si="9"/>
        <v>1</v>
      </c>
      <c r="J139">
        <f t="shared" si="11"/>
        <v>1</v>
      </c>
    </row>
    <row r="140" spans="1:10">
      <c r="A140" s="15">
        <v>274</v>
      </c>
      <c r="B140" s="15">
        <v>29869</v>
      </c>
      <c r="C140" s="16" t="s">
        <v>33</v>
      </c>
      <c r="D140" s="17">
        <v>44990</v>
      </c>
      <c r="E140" s="17">
        <v>44996</v>
      </c>
      <c r="F140" s="16"/>
      <c r="G140" s="17">
        <v>45026</v>
      </c>
      <c r="H140" s="17">
        <v>45032</v>
      </c>
      <c r="I140">
        <f t="shared" si="9"/>
        <v>0</v>
      </c>
      <c r="J140" t="s">
        <v>58</v>
      </c>
    </row>
    <row r="141" spans="1:10">
      <c r="A141" s="11">
        <v>282</v>
      </c>
      <c r="B141" s="11">
        <v>27064</v>
      </c>
      <c r="C141" s="12" t="s">
        <v>33</v>
      </c>
      <c r="D141" s="13">
        <v>45000</v>
      </c>
      <c r="E141" s="13">
        <v>45006</v>
      </c>
      <c r="F141" s="13">
        <v>45027</v>
      </c>
      <c r="G141" s="13">
        <v>45033</v>
      </c>
      <c r="H141" s="13">
        <v>45038</v>
      </c>
      <c r="I141">
        <f t="shared" si="9"/>
        <v>1</v>
      </c>
      <c r="J141">
        <f>DATEDIF(E141,F141,"d")</f>
        <v>21</v>
      </c>
    </row>
    <row r="142" spans="1:10">
      <c r="A142" s="15">
        <v>287</v>
      </c>
      <c r="B142" s="15">
        <v>23261</v>
      </c>
      <c r="C142" s="16" t="s">
        <v>33</v>
      </c>
      <c r="D142" s="17">
        <v>45010</v>
      </c>
      <c r="E142" s="17">
        <v>45015</v>
      </c>
      <c r="F142" s="17">
        <v>45030</v>
      </c>
      <c r="G142" s="16"/>
      <c r="H142" s="16"/>
      <c r="I142">
        <f t="shared" si="9"/>
        <v>1</v>
      </c>
      <c r="J142">
        <f>DATEDIF(E142,F142,"d")</f>
        <v>15</v>
      </c>
    </row>
    <row r="143" spans="1:10">
      <c r="A143" s="11">
        <v>297</v>
      </c>
      <c r="B143" s="11">
        <v>28846</v>
      </c>
      <c r="C143" s="12" t="s">
        <v>33</v>
      </c>
      <c r="D143" s="13">
        <v>44933</v>
      </c>
      <c r="E143" s="13">
        <v>44936</v>
      </c>
      <c r="F143" s="13">
        <v>44952</v>
      </c>
      <c r="G143" s="12"/>
      <c r="H143" s="12"/>
      <c r="I143">
        <f t="shared" si="9"/>
        <v>1</v>
      </c>
      <c r="J143">
        <f>DATEDIF(E143,F143,"d")</f>
        <v>16</v>
      </c>
    </row>
    <row r="144" spans="1:10">
      <c r="A144" s="15">
        <v>298</v>
      </c>
      <c r="B144" s="15">
        <v>13694</v>
      </c>
      <c r="C144" s="16" t="s">
        <v>33</v>
      </c>
      <c r="D144" s="17">
        <v>44946</v>
      </c>
      <c r="E144" s="17">
        <v>44946</v>
      </c>
      <c r="F144" s="17">
        <v>44949</v>
      </c>
      <c r="G144" s="16"/>
      <c r="H144" s="16"/>
      <c r="I144">
        <f t="shared" si="9"/>
        <v>1</v>
      </c>
      <c r="J144">
        <f>DATEDIF(E144,F144,"d")</f>
        <v>3</v>
      </c>
    </row>
    <row r="145" spans="1:10">
      <c r="A145" s="11">
        <v>299</v>
      </c>
      <c r="B145" s="11">
        <v>10075</v>
      </c>
      <c r="C145" s="12" t="s">
        <v>33</v>
      </c>
      <c r="D145" s="13">
        <v>44970</v>
      </c>
      <c r="E145" s="13">
        <v>44973</v>
      </c>
      <c r="F145" s="13">
        <v>44977</v>
      </c>
      <c r="G145" s="13">
        <v>45002</v>
      </c>
      <c r="H145" s="13">
        <v>45008</v>
      </c>
      <c r="I145">
        <f t="shared" si="9"/>
        <v>1</v>
      </c>
      <c r="J145">
        <f>DATEDIF(E145,F145,"d")</f>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C7FBB-8DC7-49CB-A867-B47520C1AFBD}">
  <dimension ref="A1:S66"/>
  <sheetViews>
    <sheetView topLeftCell="I1" workbookViewId="0">
      <selection activeCell="N2" sqref="N2"/>
    </sheetView>
  </sheetViews>
  <sheetFormatPr baseColWidth="10" defaultColWidth="8.83203125" defaultRowHeight="13"/>
  <cols>
    <col min="1" max="1" width="9.5" bestFit="1" customWidth="1"/>
    <col min="2" max="2" width="11.5" bestFit="1" customWidth="1"/>
    <col min="3" max="3" width="9.5" bestFit="1" customWidth="1"/>
    <col min="4" max="4" width="22.83203125" customWidth="1"/>
    <col min="5" max="5" width="27.33203125" customWidth="1"/>
    <col min="6" max="6" width="25.1640625" customWidth="1"/>
    <col min="7" max="7" width="25" customWidth="1"/>
    <col min="8" max="8" width="28.6640625" customWidth="1"/>
    <col min="9" max="9" width="22" customWidth="1"/>
    <col min="10" max="10" width="19.6640625" customWidth="1"/>
    <col min="11" max="11" width="25.33203125" bestFit="1" customWidth="1"/>
    <col min="12" max="12" width="13.1640625" customWidth="1"/>
    <col min="13" max="13" width="20.33203125" bestFit="1" customWidth="1"/>
    <col min="14" max="14" width="36.5" bestFit="1" customWidth="1"/>
    <col min="15" max="15" width="31" bestFit="1" customWidth="1"/>
    <col min="16" max="16" width="28.5" bestFit="1" customWidth="1"/>
    <col min="17" max="17" width="33" bestFit="1" customWidth="1"/>
    <col min="18" max="19" width="36.5" bestFit="1" customWidth="1"/>
  </cols>
  <sheetData>
    <row r="1" spans="1:19" ht="28">
      <c r="A1" s="19" t="s">
        <v>22</v>
      </c>
      <c r="B1" s="19" t="s">
        <v>23</v>
      </c>
      <c r="C1" s="19" t="s">
        <v>24</v>
      </c>
      <c r="D1" s="19" t="s">
        <v>25</v>
      </c>
      <c r="E1" s="19" t="s">
        <v>26</v>
      </c>
      <c r="F1" s="19" t="s">
        <v>27</v>
      </c>
      <c r="G1" s="19" t="s">
        <v>28</v>
      </c>
      <c r="H1" s="19" t="s">
        <v>29</v>
      </c>
      <c r="I1" s="27" t="s">
        <v>30</v>
      </c>
      <c r="J1" s="30" t="s">
        <v>59</v>
      </c>
      <c r="K1" s="20" t="s">
        <v>51</v>
      </c>
      <c r="L1" t="s">
        <v>41</v>
      </c>
      <c r="M1" t="s">
        <v>60</v>
      </c>
      <c r="N1" s="20" t="s">
        <v>61</v>
      </c>
      <c r="O1" t="s">
        <v>54</v>
      </c>
      <c r="P1" t="s">
        <v>40</v>
      </c>
      <c r="Q1" t="s">
        <v>55</v>
      </c>
      <c r="R1" s="20" t="s">
        <v>62</v>
      </c>
      <c r="S1" s="20" t="s">
        <v>57</v>
      </c>
    </row>
    <row r="2" spans="1:19" ht="17">
      <c r="A2" s="11">
        <v>4</v>
      </c>
      <c r="B2" s="11">
        <v>24108</v>
      </c>
      <c r="C2" s="12" t="s">
        <v>33</v>
      </c>
      <c r="D2" s="13">
        <v>44999</v>
      </c>
      <c r="E2" s="13">
        <v>44999</v>
      </c>
      <c r="F2" s="12"/>
      <c r="G2" s="13">
        <v>45009</v>
      </c>
      <c r="H2" s="13">
        <v>45015</v>
      </c>
      <c r="I2" s="14">
        <f>IF(ISBLANK(F2),0,1)</f>
        <v>0</v>
      </c>
      <c r="J2" s="32" t="s">
        <v>58</v>
      </c>
      <c r="K2">
        <f>COUNT(B2:B66)</f>
        <v>65</v>
      </c>
      <c r="L2">
        <f>SUM(I2:I66)</f>
        <v>60</v>
      </c>
      <c r="M2" s="21">
        <f>L2/K2</f>
        <v>0.92307692307692313</v>
      </c>
      <c r="N2" s="35">
        <f>AVERAGE(Table5[[Days Between Initial Discharge and PDV ]])</f>
        <v>13.132075471698114</v>
      </c>
      <c r="O2">
        <f>COUNTA(Table5[Readmission Date])</f>
        <v>14</v>
      </c>
      <c r="P2" s="36">
        <f>Table5[[#This Row],[Count of Readmissions ]]/K2</f>
        <v>0.2153846153846154</v>
      </c>
      <c r="Q2">
        <f>COUNTIFS(G2:G66, "&gt;" &amp; 0, I2:I66, 1)</f>
        <v>12</v>
      </c>
      <c r="R2" s="36">
        <f>Table5[[#This Row],[Count of Readmissions with PDV ]]/Table5[[#This Row],[Count of Readmissions ]]</f>
        <v>0.8571428571428571</v>
      </c>
      <c r="S2" s="36">
        <f>2/Table5[[#This Row],[Count of Readmissions ]]</f>
        <v>0.14285714285714285</v>
      </c>
    </row>
    <row r="3" spans="1:19" ht="17">
      <c r="A3" s="15">
        <v>8</v>
      </c>
      <c r="B3" s="15">
        <v>18925</v>
      </c>
      <c r="C3" s="16" t="s">
        <v>33</v>
      </c>
      <c r="D3" s="17">
        <v>45056</v>
      </c>
      <c r="E3" s="17">
        <v>45056</v>
      </c>
      <c r="F3" s="16"/>
      <c r="G3" s="17">
        <v>45077</v>
      </c>
      <c r="H3" s="17">
        <v>45084</v>
      </c>
      <c r="I3" s="18">
        <f t="shared" ref="I3:I7" si="0">IF(ISBLANK(F3),0,1)</f>
        <v>0</v>
      </c>
      <c r="J3" s="32" t="s">
        <v>58</v>
      </c>
    </row>
    <row r="4" spans="1:19" ht="16">
      <c r="A4" s="11">
        <v>12</v>
      </c>
      <c r="B4" s="11">
        <v>29818</v>
      </c>
      <c r="C4" s="12" t="s">
        <v>33</v>
      </c>
      <c r="D4" s="13">
        <v>45027</v>
      </c>
      <c r="E4" s="13">
        <v>45027</v>
      </c>
      <c r="F4" s="13">
        <v>45035</v>
      </c>
      <c r="G4" s="12"/>
      <c r="H4" s="12"/>
      <c r="I4" s="14">
        <f t="shared" si="0"/>
        <v>1</v>
      </c>
      <c r="J4" s="32">
        <f>DATEDIF(Table5[[#This Row],[Discharge Date 1]], Table5[[#This Row],[Post-Discharge Visit Date]],"d")</f>
        <v>8</v>
      </c>
    </row>
    <row r="5" spans="1:19" ht="16">
      <c r="A5" s="15">
        <v>13</v>
      </c>
      <c r="B5" s="15">
        <v>26981</v>
      </c>
      <c r="C5" s="16" t="s">
        <v>33</v>
      </c>
      <c r="D5" s="17">
        <v>44975</v>
      </c>
      <c r="E5" s="17">
        <v>44975</v>
      </c>
      <c r="F5" s="17">
        <v>44982</v>
      </c>
      <c r="G5" s="16"/>
      <c r="H5" s="16"/>
      <c r="I5" s="18">
        <f t="shared" si="0"/>
        <v>1</v>
      </c>
      <c r="J5" s="32">
        <f>DATEDIF(Table5[[#This Row],[Discharge Date 1]], Table5[[#This Row],[Post-Discharge Visit Date]],"d")</f>
        <v>7</v>
      </c>
    </row>
    <row r="6" spans="1:19" ht="16">
      <c r="A6" s="11">
        <v>15</v>
      </c>
      <c r="B6" s="11">
        <v>16967</v>
      </c>
      <c r="C6" s="12" t="s">
        <v>33</v>
      </c>
      <c r="D6" s="13">
        <v>45019</v>
      </c>
      <c r="E6" s="13">
        <v>45019</v>
      </c>
      <c r="F6" s="13">
        <v>45027</v>
      </c>
      <c r="G6" s="12"/>
      <c r="H6" s="12"/>
      <c r="I6" s="14">
        <f t="shared" si="0"/>
        <v>1</v>
      </c>
      <c r="J6" s="32">
        <f>DATEDIF(Table5[[#This Row],[Discharge Date 1]], Table5[[#This Row],[Post-Discharge Visit Date]],"d")</f>
        <v>8</v>
      </c>
    </row>
    <row r="7" spans="1:19" ht="16">
      <c r="A7" s="15">
        <v>27</v>
      </c>
      <c r="B7" s="15">
        <v>25502</v>
      </c>
      <c r="C7" s="16" t="s">
        <v>33</v>
      </c>
      <c r="D7" s="17">
        <v>44967</v>
      </c>
      <c r="E7" s="17">
        <v>44968</v>
      </c>
      <c r="F7" s="17">
        <v>44970</v>
      </c>
      <c r="G7" s="16"/>
      <c r="H7" s="16"/>
      <c r="I7" s="18">
        <f t="shared" si="0"/>
        <v>1</v>
      </c>
      <c r="J7" s="32">
        <f>DATEDIF(Table5[[#This Row],[Discharge Date 1]], Table5[[#This Row],[Post-Discharge Visit Date]],"d")</f>
        <v>2</v>
      </c>
    </row>
    <row r="8" spans="1:19" ht="16">
      <c r="A8" s="11">
        <v>32</v>
      </c>
      <c r="B8" s="11">
        <v>14926</v>
      </c>
      <c r="C8" s="12" t="s">
        <v>33</v>
      </c>
      <c r="D8" s="13">
        <v>44943</v>
      </c>
      <c r="E8" s="13">
        <v>44947</v>
      </c>
      <c r="F8" s="13">
        <v>44971</v>
      </c>
      <c r="G8" s="12"/>
      <c r="H8" s="12"/>
      <c r="I8" s="18"/>
      <c r="J8" s="32">
        <f>DATEDIF(Table5[[#This Row],[Discharge Date 1]], Table5[[#This Row],[Post-Discharge Visit Date]],"d")</f>
        <v>24</v>
      </c>
    </row>
    <row r="9" spans="1:19" ht="16">
      <c r="A9" s="15">
        <v>37</v>
      </c>
      <c r="B9" s="15">
        <v>12945</v>
      </c>
      <c r="C9" s="16" t="s">
        <v>33</v>
      </c>
      <c r="D9" s="17">
        <v>45057</v>
      </c>
      <c r="E9" s="17">
        <v>45059</v>
      </c>
      <c r="F9" s="17">
        <v>45060</v>
      </c>
      <c r="G9" s="16"/>
      <c r="H9" s="16"/>
      <c r="I9" s="14">
        <f>IF(ISBLANK(F8),0,1)</f>
        <v>1</v>
      </c>
      <c r="J9" s="32">
        <f>DATEDIF(Table5[[#This Row],[Discharge Date 1]], Table5[[#This Row],[Post-Discharge Visit Date]],"d")</f>
        <v>1</v>
      </c>
    </row>
    <row r="10" spans="1:19" ht="16">
      <c r="A10" s="11">
        <v>38</v>
      </c>
      <c r="B10" s="11">
        <v>16361</v>
      </c>
      <c r="C10" s="12" t="s">
        <v>33</v>
      </c>
      <c r="D10" s="13">
        <v>45000</v>
      </c>
      <c r="E10" s="13">
        <v>45003</v>
      </c>
      <c r="F10" s="13">
        <v>45009</v>
      </c>
      <c r="G10" s="12"/>
      <c r="H10" s="12"/>
      <c r="I10" s="18">
        <f>IF(ISBLANK(F9),0,1)</f>
        <v>1</v>
      </c>
      <c r="J10" s="32">
        <f>DATEDIF(Table5[[#This Row],[Discharge Date 1]], Table5[[#This Row],[Post-Discharge Visit Date]],"d")</f>
        <v>6</v>
      </c>
    </row>
    <row r="11" spans="1:19" ht="16">
      <c r="A11" s="15">
        <v>51</v>
      </c>
      <c r="B11" s="15">
        <v>12767</v>
      </c>
      <c r="C11" s="16" t="s">
        <v>33</v>
      </c>
      <c r="D11" s="17">
        <v>45040</v>
      </c>
      <c r="E11" s="17">
        <v>45046</v>
      </c>
      <c r="F11" s="17">
        <v>45060</v>
      </c>
      <c r="G11" s="16"/>
      <c r="H11" s="16"/>
      <c r="I11" s="14">
        <f>IF(ISBLANK(F10),0,1)</f>
        <v>1</v>
      </c>
      <c r="J11" s="32">
        <f>DATEDIF(Table5[[#This Row],[Discharge Date 1]], Table5[[#This Row],[Post-Discharge Visit Date]],"d")</f>
        <v>14</v>
      </c>
    </row>
    <row r="12" spans="1:19" ht="16">
      <c r="A12" s="11">
        <v>61</v>
      </c>
      <c r="B12" s="11">
        <v>10196</v>
      </c>
      <c r="C12" s="12" t="s">
        <v>33</v>
      </c>
      <c r="D12" s="13">
        <v>45007</v>
      </c>
      <c r="E12" s="13">
        <v>45007</v>
      </c>
      <c r="F12" s="13">
        <v>45009</v>
      </c>
      <c r="G12" s="12"/>
      <c r="H12" s="12"/>
      <c r="I12" s="14"/>
      <c r="J12" s="32">
        <f>DATEDIF(Table5[[#This Row],[Discharge Date 1]], Table5[[#This Row],[Post-Discharge Visit Date]],"d")</f>
        <v>2</v>
      </c>
    </row>
    <row r="13" spans="1:19" ht="16">
      <c r="A13" s="15">
        <v>68</v>
      </c>
      <c r="B13" s="15">
        <v>24201</v>
      </c>
      <c r="C13" s="16" t="s">
        <v>33</v>
      </c>
      <c r="D13" s="17">
        <v>44977</v>
      </c>
      <c r="E13" s="17">
        <v>44983</v>
      </c>
      <c r="F13" s="17">
        <v>45008</v>
      </c>
      <c r="G13" s="16"/>
      <c r="H13" s="16"/>
      <c r="I13" s="18">
        <f t="shared" ref="I13:I44" si="1">IF(ISBLANK(F11),0,1)</f>
        <v>1</v>
      </c>
      <c r="J13" s="32">
        <f>DATEDIF(Table5[[#This Row],[Discharge Date 1]], Table5[[#This Row],[Post-Discharge Visit Date]],"d")</f>
        <v>25</v>
      </c>
    </row>
    <row r="14" spans="1:19" ht="16">
      <c r="A14" s="11">
        <v>71</v>
      </c>
      <c r="B14" s="11">
        <v>29380</v>
      </c>
      <c r="C14" s="12" t="s">
        <v>33</v>
      </c>
      <c r="D14" s="13">
        <v>45030</v>
      </c>
      <c r="E14" s="13">
        <v>45036</v>
      </c>
      <c r="F14" s="13">
        <v>45048</v>
      </c>
      <c r="G14" s="12"/>
      <c r="H14" s="12"/>
      <c r="I14" s="14">
        <f t="shared" si="1"/>
        <v>1</v>
      </c>
      <c r="J14" s="32">
        <f>DATEDIF(Table5[[#This Row],[Discharge Date 1]], Table5[[#This Row],[Post-Discharge Visit Date]],"d")</f>
        <v>12</v>
      </c>
    </row>
    <row r="15" spans="1:19" ht="16">
      <c r="A15" s="15">
        <v>75</v>
      </c>
      <c r="B15" s="15">
        <v>17260</v>
      </c>
      <c r="C15" s="16" t="s">
        <v>33</v>
      </c>
      <c r="D15" s="17">
        <v>44941</v>
      </c>
      <c r="E15" s="17">
        <v>44941</v>
      </c>
      <c r="F15" s="17">
        <v>44965</v>
      </c>
      <c r="G15" s="16"/>
      <c r="H15" s="16"/>
      <c r="I15" s="18">
        <f t="shared" si="1"/>
        <v>1</v>
      </c>
      <c r="J15" s="32">
        <f>DATEDIF(Table5[[#This Row],[Discharge Date 1]], Table5[[#This Row],[Post-Discharge Visit Date]],"d")</f>
        <v>24</v>
      </c>
    </row>
    <row r="16" spans="1:19" ht="16">
      <c r="A16" s="11">
        <v>77</v>
      </c>
      <c r="B16" s="11">
        <v>23936</v>
      </c>
      <c r="C16" s="12" t="s">
        <v>33</v>
      </c>
      <c r="D16" s="13">
        <v>44980</v>
      </c>
      <c r="E16" s="13">
        <v>44983</v>
      </c>
      <c r="F16" s="13">
        <v>44984</v>
      </c>
      <c r="G16" s="13">
        <v>44990</v>
      </c>
      <c r="H16" s="13">
        <v>44993</v>
      </c>
      <c r="I16" s="14">
        <f t="shared" si="1"/>
        <v>1</v>
      </c>
      <c r="J16" s="32">
        <f>DATEDIF(Table5[[#This Row],[Discharge Date 1]], Table5[[#This Row],[Post-Discharge Visit Date]],"d")</f>
        <v>1</v>
      </c>
    </row>
    <row r="17" spans="1:10" ht="16">
      <c r="A17" s="15">
        <v>78</v>
      </c>
      <c r="B17" s="15">
        <v>28080</v>
      </c>
      <c r="C17" s="16" t="s">
        <v>33</v>
      </c>
      <c r="D17" s="17">
        <v>45006</v>
      </c>
      <c r="E17" s="17">
        <v>45011</v>
      </c>
      <c r="F17" s="17">
        <v>45012</v>
      </c>
      <c r="G17" s="17">
        <v>45037</v>
      </c>
      <c r="H17" s="17">
        <v>45041</v>
      </c>
      <c r="I17" s="18">
        <f t="shared" si="1"/>
        <v>1</v>
      </c>
      <c r="J17" s="32">
        <f>DATEDIF(Table5[[#This Row],[Discharge Date 1]], Table5[[#This Row],[Post-Discharge Visit Date]],"d")</f>
        <v>1</v>
      </c>
    </row>
    <row r="18" spans="1:10" ht="16">
      <c r="A18" s="11">
        <v>80</v>
      </c>
      <c r="B18" s="11">
        <v>14196</v>
      </c>
      <c r="C18" s="12" t="s">
        <v>33</v>
      </c>
      <c r="D18" s="13">
        <v>44963</v>
      </c>
      <c r="E18" s="13">
        <v>44965</v>
      </c>
      <c r="F18" s="13">
        <v>44969</v>
      </c>
      <c r="G18" s="13">
        <v>44969</v>
      </c>
      <c r="H18" s="13">
        <v>44972</v>
      </c>
      <c r="I18" s="14">
        <f t="shared" si="1"/>
        <v>1</v>
      </c>
      <c r="J18" s="32">
        <f>DATEDIF(Table5[[#This Row],[Discharge Date 1]], Table5[[#This Row],[Post-Discharge Visit Date]],"d")</f>
        <v>4</v>
      </c>
    </row>
    <row r="19" spans="1:10" ht="16">
      <c r="A19" s="15">
        <v>84</v>
      </c>
      <c r="B19" s="15">
        <v>21446</v>
      </c>
      <c r="C19" s="16" t="s">
        <v>33</v>
      </c>
      <c r="D19" s="17">
        <v>44995</v>
      </c>
      <c r="E19" s="17">
        <v>44998</v>
      </c>
      <c r="F19" s="17">
        <v>45012</v>
      </c>
      <c r="G19" s="17">
        <v>45016</v>
      </c>
      <c r="H19" s="17">
        <v>45022</v>
      </c>
      <c r="I19" s="18">
        <f t="shared" si="1"/>
        <v>1</v>
      </c>
      <c r="J19" s="32">
        <f>DATEDIF(Table5[[#This Row],[Discharge Date 1]], Table5[[#This Row],[Post-Discharge Visit Date]],"d")</f>
        <v>14</v>
      </c>
    </row>
    <row r="20" spans="1:10" ht="16">
      <c r="A20" s="11">
        <v>85</v>
      </c>
      <c r="B20" s="11">
        <v>27148</v>
      </c>
      <c r="C20" s="12" t="s">
        <v>33</v>
      </c>
      <c r="D20" s="13">
        <v>44950</v>
      </c>
      <c r="E20" s="13">
        <v>44953</v>
      </c>
      <c r="F20" s="13">
        <v>44956</v>
      </c>
      <c r="G20" s="13">
        <v>44960</v>
      </c>
      <c r="H20" s="13">
        <v>44967</v>
      </c>
      <c r="I20" s="14">
        <f t="shared" si="1"/>
        <v>1</v>
      </c>
      <c r="J20" s="32">
        <f>DATEDIF(Table5[[#This Row],[Discharge Date 1]], Table5[[#This Row],[Post-Discharge Visit Date]],"d")</f>
        <v>3</v>
      </c>
    </row>
    <row r="21" spans="1:10" ht="16">
      <c r="A21" s="15">
        <v>92</v>
      </c>
      <c r="B21" s="15">
        <v>25488</v>
      </c>
      <c r="C21" s="16" t="s">
        <v>33</v>
      </c>
      <c r="D21" s="17">
        <v>45068</v>
      </c>
      <c r="E21" s="17">
        <v>45072</v>
      </c>
      <c r="F21" s="17">
        <v>45075</v>
      </c>
      <c r="G21" s="16"/>
      <c r="H21" s="16"/>
      <c r="I21" s="18">
        <f t="shared" si="1"/>
        <v>1</v>
      </c>
      <c r="J21" s="32">
        <f>DATEDIF(Table5[[#This Row],[Discharge Date 1]], Table5[[#This Row],[Post-Discharge Visit Date]],"d")</f>
        <v>3</v>
      </c>
    </row>
    <row r="22" spans="1:10" ht="16">
      <c r="A22" s="11">
        <v>93</v>
      </c>
      <c r="B22" s="11">
        <v>13734</v>
      </c>
      <c r="C22" s="12" t="s">
        <v>33</v>
      </c>
      <c r="D22" s="13">
        <v>44998</v>
      </c>
      <c r="E22" s="13">
        <v>45001</v>
      </c>
      <c r="F22" s="13">
        <v>45008</v>
      </c>
      <c r="G22" s="12"/>
      <c r="H22" s="12"/>
      <c r="I22" s="14">
        <f t="shared" si="1"/>
        <v>1</v>
      </c>
      <c r="J22" s="32">
        <f>DATEDIF(Table5[[#This Row],[Discharge Date 1]], Table5[[#This Row],[Post-Discharge Visit Date]],"d")</f>
        <v>7</v>
      </c>
    </row>
    <row r="23" spans="1:10" ht="16">
      <c r="A23" s="15">
        <v>94</v>
      </c>
      <c r="B23" s="15">
        <v>11621</v>
      </c>
      <c r="C23" s="16" t="s">
        <v>33</v>
      </c>
      <c r="D23" s="17">
        <v>44930</v>
      </c>
      <c r="E23" s="17">
        <v>44933</v>
      </c>
      <c r="F23" s="17">
        <v>44946</v>
      </c>
      <c r="G23" s="16"/>
      <c r="H23" s="16"/>
      <c r="I23" s="18">
        <f t="shared" si="1"/>
        <v>1</v>
      </c>
      <c r="J23" s="32">
        <f>DATEDIF(Table5[[#This Row],[Discharge Date 1]], Table5[[#This Row],[Post-Discharge Visit Date]],"d")</f>
        <v>13</v>
      </c>
    </row>
    <row r="24" spans="1:10" ht="16">
      <c r="A24" s="11">
        <v>97</v>
      </c>
      <c r="B24" s="11">
        <v>12031</v>
      </c>
      <c r="C24" s="12" t="s">
        <v>33</v>
      </c>
      <c r="D24" s="13">
        <v>45011</v>
      </c>
      <c r="E24" s="13">
        <v>45012</v>
      </c>
      <c r="F24" s="13">
        <v>45029</v>
      </c>
      <c r="G24" s="12"/>
      <c r="H24" s="12"/>
      <c r="I24" s="14">
        <f t="shared" si="1"/>
        <v>1</v>
      </c>
      <c r="J24" s="32">
        <f>DATEDIF(Table5[[#This Row],[Discharge Date 1]], Table5[[#This Row],[Post-Discharge Visit Date]],"d")</f>
        <v>17</v>
      </c>
    </row>
    <row r="25" spans="1:10" ht="16">
      <c r="A25" s="15">
        <v>99</v>
      </c>
      <c r="B25" s="15">
        <v>28681</v>
      </c>
      <c r="C25" s="16" t="s">
        <v>33</v>
      </c>
      <c r="D25" s="17">
        <v>45057</v>
      </c>
      <c r="E25" s="17">
        <v>45063</v>
      </c>
      <c r="F25" s="17">
        <v>45080</v>
      </c>
      <c r="G25" s="16"/>
      <c r="H25" s="16"/>
      <c r="I25" s="18">
        <f t="shared" si="1"/>
        <v>1</v>
      </c>
      <c r="J25" s="32">
        <f>DATEDIF(Table5[[#This Row],[Discharge Date 1]], Table5[[#This Row],[Post-Discharge Visit Date]],"d")</f>
        <v>17</v>
      </c>
    </row>
    <row r="26" spans="1:10" ht="16">
      <c r="A26" s="11">
        <v>101</v>
      </c>
      <c r="B26" s="11">
        <v>13579</v>
      </c>
      <c r="C26" s="12" t="s">
        <v>33</v>
      </c>
      <c r="D26" s="13">
        <v>44988</v>
      </c>
      <c r="E26" s="13">
        <v>44989</v>
      </c>
      <c r="F26" s="13">
        <v>45008</v>
      </c>
      <c r="G26" s="12"/>
      <c r="H26" s="12"/>
      <c r="I26" s="14">
        <f t="shared" si="1"/>
        <v>1</v>
      </c>
      <c r="J26" s="32">
        <f>DATEDIF(Table5[[#This Row],[Discharge Date 1]], Table5[[#This Row],[Post-Discharge Visit Date]],"d")</f>
        <v>19</v>
      </c>
    </row>
    <row r="27" spans="1:10" ht="16">
      <c r="A27" s="15">
        <v>106</v>
      </c>
      <c r="B27" s="15">
        <v>16239</v>
      </c>
      <c r="C27" s="16" t="s">
        <v>33</v>
      </c>
      <c r="D27" s="17">
        <v>44931</v>
      </c>
      <c r="E27" s="17">
        <v>44934</v>
      </c>
      <c r="F27" s="17">
        <v>44948</v>
      </c>
      <c r="G27" s="16"/>
      <c r="H27" s="16"/>
      <c r="I27" s="18">
        <f t="shared" si="1"/>
        <v>1</v>
      </c>
      <c r="J27" s="32">
        <f>DATEDIF(Table5[[#This Row],[Discharge Date 1]], Table5[[#This Row],[Post-Discharge Visit Date]],"d")</f>
        <v>14</v>
      </c>
    </row>
    <row r="28" spans="1:10" ht="16">
      <c r="A28" s="11">
        <v>114</v>
      </c>
      <c r="B28" s="11">
        <v>28465</v>
      </c>
      <c r="C28" s="12" t="s">
        <v>33</v>
      </c>
      <c r="D28" s="13">
        <v>44970</v>
      </c>
      <c r="E28" s="13">
        <v>44976</v>
      </c>
      <c r="F28" s="13">
        <v>44990</v>
      </c>
      <c r="G28" s="12"/>
      <c r="H28" s="12"/>
      <c r="I28" s="14">
        <f t="shared" si="1"/>
        <v>1</v>
      </c>
      <c r="J28" s="32">
        <f>DATEDIF(Table5[[#This Row],[Discharge Date 1]], Table5[[#This Row],[Post-Discharge Visit Date]],"d")</f>
        <v>14</v>
      </c>
    </row>
    <row r="29" spans="1:10" ht="16">
      <c r="A29" s="15">
        <v>127</v>
      </c>
      <c r="B29" s="15">
        <v>28235</v>
      </c>
      <c r="C29" s="16" t="s">
        <v>33</v>
      </c>
      <c r="D29" s="17">
        <v>44960</v>
      </c>
      <c r="E29" s="17">
        <v>44962</v>
      </c>
      <c r="F29" s="17">
        <v>44975</v>
      </c>
      <c r="G29" s="16"/>
      <c r="H29" s="16"/>
      <c r="I29" s="18">
        <f t="shared" si="1"/>
        <v>1</v>
      </c>
      <c r="J29" s="32">
        <f>DATEDIF(Table5[[#This Row],[Discharge Date 1]], Table5[[#This Row],[Post-Discharge Visit Date]],"d")</f>
        <v>13</v>
      </c>
    </row>
    <row r="30" spans="1:10" ht="16">
      <c r="A30" s="11">
        <v>131</v>
      </c>
      <c r="B30" s="11">
        <v>25600</v>
      </c>
      <c r="C30" s="12" t="s">
        <v>33</v>
      </c>
      <c r="D30" s="13">
        <v>45047</v>
      </c>
      <c r="E30" s="13">
        <v>45049</v>
      </c>
      <c r="F30" s="13">
        <v>45071</v>
      </c>
      <c r="G30" s="12"/>
      <c r="H30" s="12"/>
      <c r="I30" s="14">
        <f t="shared" si="1"/>
        <v>1</v>
      </c>
      <c r="J30" s="32">
        <f>DATEDIF(Table5[[#This Row],[Discharge Date 1]], Table5[[#This Row],[Post-Discharge Visit Date]],"d")</f>
        <v>22</v>
      </c>
    </row>
    <row r="31" spans="1:10" ht="16">
      <c r="A31" s="15">
        <v>134</v>
      </c>
      <c r="B31" s="15">
        <v>22778</v>
      </c>
      <c r="C31" s="16" t="s">
        <v>33</v>
      </c>
      <c r="D31" s="17">
        <v>44959</v>
      </c>
      <c r="E31" s="17">
        <v>44964</v>
      </c>
      <c r="F31" s="17">
        <v>44986</v>
      </c>
      <c r="G31" s="16"/>
      <c r="H31" s="16"/>
      <c r="I31" s="18">
        <f t="shared" si="1"/>
        <v>1</v>
      </c>
      <c r="J31" s="32">
        <f>DATEDIF(Table5[[#This Row],[Discharge Date 1]], Table5[[#This Row],[Post-Discharge Visit Date]],"d")</f>
        <v>22</v>
      </c>
    </row>
    <row r="32" spans="1:10" ht="16">
      <c r="A32" s="11">
        <v>142</v>
      </c>
      <c r="B32" s="11">
        <v>24405</v>
      </c>
      <c r="C32" s="12" t="s">
        <v>33</v>
      </c>
      <c r="D32" s="13">
        <v>44949</v>
      </c>
      <c r="E32" s="13">
        <v>44953</v>
      </c>
      <c r="F32" s="13">
        <v>44969</v>
      </c>
      <c r="G32" s="12"/>
      <c r="H32" s="12"/>
      <c r="I32" s="14">
        <f t="shared" si="1"/>
        <v>1</v>
      </c>
      <c r="J32" s="32">
        <f>DATEDIF(Table5[[#This Row],[Discharge Date 1]], Table5[[#This Row],[Post-Discharge Visit Date]],"d")</f>
        <v>16</v>
      </c>
    </row>
    <row r="33" spans="1:10" ht="16">
      <c r="A33" s="15">
        <v>148</v>
      </c>
      <c r="B33" s="15">
        <v>10012</v>
      </c>
      <c r="C33" s="16" t="s">
        <v>33</v>
      </c>
      <c r="D33" s="17">
        <v>45072</v>
      </c>
      <c r="E33" s="17">
        <v>45072</v>
      </c>
      <c r="F33" s="17">
        <v>45092</v>
      </c>
      <c r="G33" s="16"/>
      <c r="H33" s="16"/>
      <c r="I33" s="18">
        <f t="shared" si="1"/>
        <v>1</v>
      </c>
      <c r="J33" s="32">
        <f>DATEDIF(Table5[[#This Row],[Discharge Date 1]], Table5[[#This Row],[Post-Discharge Visit Date]],"d")</f>
        <v>20</v>
      </c>
    </row>
    <row r="34" spans="1:10" ht="16">
      <c r="A34" s="11">
        <v>157</v>
      </c>
      <c r="B34" s="11">
        <v>17595</v>
      </c>
      <c r="C34" s="12" t="s">
        <v>33</v>
      </c>
      <c r="D34" s="13">
        <v>44948</v>
      </c>
      <c r="E34" s="13">
        <v>44952</v>
      </c>
      <c r="F34" s="13">
        <v>44981</v>
      </c>
      <c r="G34" s="12"/>
      <c r="H34" s="12"/>
      <c r="I34" s="14">
        <f t="shared" si="1"/>
        <v>1</v>
      </c>
      <c r="J34" s="32">
        <f>DATEDIF(Table5[[#This Row],[Discharge Date 1]], Table5[[#This Row],[Post-Discharge Visit Date]],"d")</f>
        <v>29</v>
      </c>
    </row>
    <row r="35" spans="1:10" ht="16">
      <c r="A35" s="15">
        <v>158</v>
      </c>
      <c r="B35" s="15">
        <v>14728</v>
      </c>
      <c r="C35" s="16" t="s">
        <v>33</v>
      </c>
      <c r="D35" s="17">
        <v>44961</v>
      </c>
      <c r="E35" s="17">
        <v>44967</v>
      </c>
      <c r="F35" s="17">
        <v>44981</v>
      </c>
      <c r="G35" s="17">
        <v>44993</v>
      </c>
      <c r="H35" s="17">
        <v>44996</v>
      </c>
      <c r="I35" s="18">
        <f t="shared" si="1"/>
        <v>1</v>
      </c>
      <c r="J35" s="32">
        <f>DATEDIF(Table5[[#This Row],[Discharge Date 1]], Table5[[#This Row],[Post-Discharge Visit Date]],"d")</f>
        <v>14</v>
      </c>
    </row>
    <row r="36" spans="1:10" ht="16">
      <c r="A36" s="11">
        <v>159</v>
      </c>
      <c r="B36" s="11">
        <v>28928</v>
      </c>
      <c r="C36" s="12" t="s">
        <v>33</v>
      </c>
      <c r="D36" s="13">
        <v>45023</v>
      </c>
      <c r="E36" s="13">
        <v>45024</v>
      </c>
      <c r="F36" s="13">
        <v>45033</v>
      </c>
      <c r="G36" s="13">
        <v>45033</v>
      </c>
      <c r="H36" s="13">
        <v>45037</v>
      </c>
      <c r="I36" s="14">
        <f t="shared" si="1"/>
        <v>1</v>
      </c>
      <c r="J36" s="32">
        <f>DATEDIF(Table5[[#This Row],[Discharge Date 1]], Table5[[#This Row],[Post-Discharge Visit Date]],"d")</f>
        <v>9</v>
      </c>
    </row>
    <row r="37" spans="1:10" ht="16">
      <c r="A37" s="15">
        <v>160</v>
      </c>
      <c r="B37" s="15">
        <v>18601</v>
      </c>
      <c r="C37" s="16" t="s">
        <v>33</v>
      </c>
      <c r="D37" s="17">
        <v>45064</v>
      </c>
      <c r="E37" s="17">
        <v>45065</v>
      </c>
      <c r="F37" s="17">
        <v>45076</v>
      </c>
      <c r="G37" s="16"/>
      <c r="H37" s="16"/>
      <c r="I37" s="18">
        <f t="shared" si="1"/>
        <v>1</v>
      </c>
      <c r="J37" s="32">
        <f>DATEDIF(Table5[[#This Row],[Discharge Date 1]], Table5[[#This Row],[Post-Discharge Visit Date]],"d")</f>
        <v>11</v>
      </c>
    </row>
    <row r="38" spans="1:10" ht="16">
      <c r="A38" s="11">
        <v>164</v>
      </c>
      <c r="B38" s="11">
        <v>11551</v>
      </c>
      <c r="C38" s="12" t="s">
        <v>33</v>
      </c>
      <c r="D38" s="13">
        <v>44982</v>
      </c>
      <c r="E38" s="13">
        <v>44984</v>
      </c>
      <c r="F38" s="13">
        <v>45008</v>
      </c>
      <c r="G38" s="12"/>
      <c r="H38" s="12"/>
      <c r="I38" s="14">
        <f t="shared" si="1"/>
        <v>1</v>
      </c>
      <c r="J38" s="32">
        <f>DATEDIF(Table5[[#This Row],[Discharge Date 1]], Table5[[#This Row],[Post-Discharge Visit Date]],"d")</f>
        <v>24</v>
      </c>
    </row>
    <row r="39" spans="1:10" ht="16">
      <c r="A39" s="15">
        <v>170</v>
      </c>
      <c r="B39" s="15">
        <v>22795</v>
      </c>
      <c r="C39" s="16" t="s">
        <v>33</v>
      </c>
      <c r="D39" s="17">
        <v>45045</v>
      </c>
      <c r="E39" s="17">
        <v>45048</v>
      </c>
      <c r="F39" s="17">
        <v>45065</v>
      </c>
      <c r="G39" s="16"/>
      <c r="H39" s="16"/>
      <c r="I39" s="18">
        <f t="shared" si="1"/>
        <v>1</v>
      </c>
      <c r="J39" s="32">
        <f>DATEDIF(Table5[[#This Row],[Discharge Date 1]], Table5[[#This Row],[Post-Discharge Visit Date]],"d")</f>
        <v>17</v>
      </c>
    </row>
    <row r="40" spans="1:10" ht="16">
      <c r="A40" s="11">
        <v>172</v>
      </c>
      <c r="B40" s="11">
        <v>29986</v>
      </c>
      <c r="C40" s="12" t="s">
        <v>33</v>
      </c>
      <c r="D40" s="13">
        <v>44989</v>
      </c>
      <c r="E40" s="13">
        <v>44991</v>
      </c>
      <c r="F40" s="13">
        <v>45009</v>
      </c>
      <c r="G40" s="12"/>
      <c r="H40" s="12"/>
      <c r="I40" s="14">
        <f t="shared" si="1"/>
        <v>1</v>
      </c>
      <c r="J40" s="32">
        <f>DATEDIF(Table5[[#This Row],[Discharge Date 1]], Table5[[#This Row],[Post-Discharge Visit Date]],"d")</f>
        <v>18</v>
      </c>
    </row>
    <row r="41" spans="1:10" ht="16">
      <c r="A41" s="15">
        <v>177</v>
      </c>
      <c r="B41" s="15">
        <v>26804</v>
      </c>
      <c r="C41" s="16" t="s">
        <v>33</v>
      </c>
      <c r="D41" s="17">
        <v>44970</v>
      </c>
      <c r="E41" s="17">
        <v>44972</v>
      </c>
      <c r="F41" s="17">
        <v>45001</v>
      </c>
      <c r="G41" s="16"/>
      <c r="H41" s="16"/>
      <c r="I41" s="18">
        <f t="shared" si="1"/>
        <v>1</v>
      </c>
      <c r="J41" s="32">
        <f>DATEDIF(Table5[[#This Row],[Discharge Date 1]], Table5[[#This Row],[Post-Discharge Visit Date]],"d")</f>
        <v>29</v>
      </c>
    </row>
    <row r="42" spans="1:10" ht="16">
      <c r="A42" s="11">
        <v>180</v>
      </c>
      <c r="B42" s="11">
        <v>21692</v>
      </c>
      <c r="C42" s="12" t="s">
        <v>33</v>
      </c>
      <c r="D42" s="13">
        <v>44997</v>
      </c>
      <c r="E42" s="13">
        <v>45003</v>
      </c>
      <c r="F42" s="13">
        <v>45009</v>
      </c>
      <c r="G42" s="12"/>
      <c r="H42" s="12"/>
      <c r="I42" s="14">
        <f t="shared" si="1"/>
        <v>1</v>
      </c>
      <c r="J42" s="32">
        <f>DATEDIF(Table5[[#This Row],[Discharge Date 1]], Table5[[#This Row],[Post-Discharge Visit Date]],"d")</f>
        <v>6</v>
      </c>
    </row>
    <row r="43" spans="1:10" ht="16">
      <c r="A43" s="15">
        <v>183</v>
      </c>
      <c r="B43" s="15">
        <v>12842</v>
      </c>
      <c r="C43" s="16" t="s">
        <v>33</v>
      </c>
      <c r="D43" s="17">
        <v>44992</v>
      </c>
      <c r="E43" s="17">
        <v>44998</v>
      </c>
      <c r="F43" s="17">
        <v>44998</v>
      </c>
      <c r="G43" s="16"/>
      <c r="H43" s="16"/>
      <c r="I43" s="18">
        <f t="shared" si="1"/>
        <v>1</v>
      </c>
      <c r="J43" s="32">
        <f>DATEDIF(Table5[[#This Row],[Discharge Date 1]], Table5[[#This Row],[Post-Discharge Visit Date]],"d")</f>
        <v>0</v>
      </c>
    </row>
    <row r="44" spans="1:10" ht="16">
      <c r="A44" s="11">
        <v>188</v>
      </c>
      <c r="B44" s="11">
        <v>14073</v>
      </c>
      <c r="C44" s="12" t="s">
        <v>33</v>
      </c>
      <c r="D44" s="13">
        <v>44948</v>
      </c>
      <c r="E44" s="13">
        <v>44952</v>
      </c>
      <c r="F44" s="13">
        <v>44974</v>
      </c>
      <c r="G44" s="12"/>
      <c r="H44" s="12"/>
      <c r="I44" s="14">
        <f t="shared" si="1"/>
        <v>1</v>
      </c>
      <c r="J44" s="32">
        <f>DATEDIF(Table5[[#This Row],[Discharge Date 1]], Table5[[#This Row],[Post-Discharge Visit Date]],"d")</f>
        <v>22</v>
      </c>
    </row>
    <row r="45" spans="1:10" ht="16">
      <c r="A45" s="15">
        <v>190</v>
      </c>
      <c r="B45" s="15">
        <v>15675</v>
      </c>
      <c r="C45" s="16" t="s">
        <v>33</v>
      </c>
      <c r="D45" s="17">
        <v>45033</v>
      </c>
      <c r="E45" s="17">
        <v>45034</v>
      </c>
      <c r="F45" s="17">
        <v>45040</v>
      </c>
      <c r="G45" s="16"/>
      <c r="H45" s="16"/>
      <c r="I45" s="18">
        <f t="shared" ref="I45:I66" si="2">IF(ISBLANK(F43),0,1)</f>
        <v>1</v>
      </c>
      <c r="J45" s="32">
        <f>DATEDIF(Table5[[#This Row],[Discharge Date 1]], Table5[[#This Row],[Post-Discharge Visit Date]],"d")</f>
        <v>6</v>
      </c>
    </row>
    <row r="46" spans="1:10" ht="16">
      <c r="A46" s="11">
        <v>191</v>
      </c>
      <c r="B46" s="11">
        <v>27106</v>
      </c>
      <c r="C46" s="12" t="s">
        <v>33</v>
      </c>
      <c r="D46" s="13">
        <v>44959</v>
      </c>
      <c r="E46" s="13">
        <v>44960</v>
      </c>
      <c r="F46" s="13">
        <v>44977</v>
      </c>
      <c r="G46" s="12"/>
      <c r="H46" s="12"/>
      <c r="I46" s="14">
        <f t="shared" si="2"/>
        <v>1</v>
      </c>
      <c r="J46" s="32">
        <f>DATEDIF(Table5[[#This Row],[Discharge Date 1]], Table5[[#This Row],[Post-Discharge Visit Date]],"d")</f>
        <v>17</v>
      </c>
    </row>
    <row r="47" spans="1:10" ht="16">
      <c r="A47" s="15">
        <v>204</v>
      </c>
      <c r="B47" s="15">
        <v>22717</v>
      </c>
      <c r="C47" s="16" t="s">
        <v>33</v>
      </c>
      <c r="D47" s="17">
        <v>45041</v>
      </c>
      <c r="E47" s="17">
        <v>45044</v>
      </c>
      <c r="F47" s="17">
        <v>45061</v>
      </c>
      <c r="G47" s="16"/>
      <c r="H47" s="16"/>
      <c r="I47" s="18">
        <f t="shared" si="2"/>
        <v>1</v>
      </c>
      <c r="J47" s="32">
        <f>DATEDIF(Table5[[#This Row],[Discharge Date 1]], Table5[[#This Row],[Post-Discharge Visit Date]],"d")</f>
        <v>17</v>
      </c>
    </row>
    <row r="48" spans="1:10" ht="16">
      <c r="A48" s="11">
        <v>208</v>
      </c>
      <c r="B48" s="11">
        <v>20720</v>
      </c>
      <c r="C48" s="12" t="s">
        <v>33</v>
      </c>
      <c r="D48" s="13">
        <v>44983</v>
      </c>
      <c r="E48" s="13">
        <v>44983</v>
      </c>
      <c r="F48" s="13">
        <v>45009</v>
      </c>
      <c r="G48" s="12"/>
      <c r="H48" s="12"/>
      <c r="I48" s="14">
        <f t="shared" si="2"/>
        <v>1</v>
      </c>
      <c r="J48" s="32">
        <f>DATEDIF(Table5[[#This Row],[Discharge Date 1]], Table5[[#This Row],[Post-Discharge Visit Date]],"d")</f>
        <v>26</v>
      </c>
    </row>
    <row r="49" spans="1:10" ht="16">
      <c r="A49" s="15">
        <v>209</v>
      </c>
      <c r="B49" s="15">
        <v>20573</v>
      </c>
      <c r="C49" s="16" t="s">
        <v>33</v>
      </c>
      <c r="D49" s="17">
        <v>45067</v>
      </c>
      <c r="E49" s="17">
        <v>45069</v>
      </c>
      <c r="F49" s="17">
        <v>45071</v>
      </c>
      <c r="G49" s="17">
        <v>45086</v>
      </c>
      <c r="H49" s="17">
        <v>45093</v>
      </c>
      <c r="I49" s="18">
        <f t="shared" si="2"/>
        <v>1</v>
      </c>
      <c r="J49" s="32">
        <f>DATEDIF(Table5[[#This Row],[Discharge Date 1]], Table5[[#This Row],[Post-Discharge Visit Date]],"d")</f>
        <v>2</v>
      </c>
    </row>
    <row r="50" spans="1:10" ht="16">
      <c r="A50" s="11">
        <v>216</v>
      </c>
      <c r="B50" s="11">
        <v>21409</v>
      </c>
      <c r="C50" s="12" t="s">
        <v>33</v>
      </c>
      <c r="D50" s="13">
        <v>45034</v>
      </c>
      <c r="E50" s="13">
        <v>45035</v>
      </c>
      <c r="F50" s="13">
        <v>45049</v>
      </c>
      <c r="G50" s="12"/>
      <c r="H50" s="12"/>
      <c r="I50" s="14">
        <f t="shared" si="2"/>
        <v>1</v>
      </c>
      <c r="J50" s="32">
        <f>DATEDIF(Table5[[#This Row],[Discharge Date 1]], Table5[[#This Row],[Post-Discharge Visit Date]],"d")</f>
        <v>14</v>
      </c>
    </row>
    <row r="51" spans="1:10" ht="16">
      <c r="A51" s="15">
        <v>228</v>
      </c>
      <c r="B51" s="15">
        <v>14375</v>
      </c>
      <c r="C51" s="16" t="s">
        <v>33</v>
      </c>
      <c r="D51" s="17">
        <v>45065</v>
      </c>
      <c r="E51" s="17">
        <v>45065</v>
      </c>
      <c r="F51" s="17">
        <v>45065</v>
      </c>
      <c r="G51" s="16"/>
      <c r="H51" s="16"/>
      <c r="I51" s="18">
        <f t="shared" si="2"/>
        <v>1</v>
      </c>
      <c r="J51" s="32">
        <f>DATEDIF(Table5[[#This Row],[Discharge Date 1]], Table5[[#This Row],[Post-Discharge Visit Date]],"d")</f>
        <v>0</v>
      </c>
    </row>
    <row r="52" spans="1:10" ht="16">
      <c r="A52" s="11">
        <v>235</v>
      </c>
      <c r="B52" s="11">
        <v>22234</v>
      </c>
      <c r="C52" s="12" t="s">
        <v>33</v>
      </c>
      <c r="D52" s="13">
        <v>45066</v>
      </c>
      <c r="E52" s="13">
        <v>45070</v>
      </c>
      <c r="F52" s="13">
        <v>45092</v>
      </c>
      <c r="G52" s="12"/>
      <c r="H52" s="12"/>
      <c r="I52" s="14">
        <f t="shared" si="2"/>
        <v>1</v>
      </c>
      <c r="J52" s="32">
        <f>DATEDIF(Table5[[#This Row],[Discharge Date 1]], Table5[[#This Row],[Post-Discharge Visit Date]],"d")</f>
        <v>22</v>
      </c>
    </row>
    <row r="53" spans="1:10" ht="16">
      <c r="A53" s="15">
        <v>239</v>
      </c>
      <c r="B53" s="15">
        <v>25522</v>
      </c>
      <c r="C53" s="16" t="s">
        <v>33</v>
      </c>
      <c r="D53" s="17">
        <v>45007</v>
      </c>
      <c r="E53" s="17">
        <v>45008</v>
      </c>
      <c r="F53" s="17">
        <v>45026</v>
      </c>
      <c r="G53" s="16"/>
      <c r="H53" s="16"/>
      <c r="I53" s="18">
        <f t="shared" si="2"/>
        <v>1</v>
      </c>
      <c r="J53" s="32">
        <f>DATEDIF(Table5[[#This Row],[Discharge Date 1]], Table5[[#This Row],[Post-Discharge Visit Date]],"d")</f>
        <v>18</v>
      </c>
    </row>
    <row r="54" spans="1:10" ht="16">
      <c r="A54" s="11">
        <v>240</v>
      </c>
      <c r="B54" s="11">
        <v>20423</v>
      </c>
      <c r="C54" s="12" t="s">
        <v>33</v>
      </c>
      <c r="D54" s="13">
        <v>45065</v>
      </c>
      <c r="E54" s="13">
        <v>45068</v>
      </c>
      <c r="F54" s="13">
        <v>45084</v>
      </c>
      <c r="G54" s="12"/>
      <c r="H54" s="12"/>
      <c r="I54" s="14">
        <f t="shared" si="2"/>
        <v>1</v>
      </c>
      <c r="J54" s="32">
        <f>DATEDIF(Table5[[#This Row],[Discharge Date 1]], Table5[[#This Row],[Post-Discharge Visit Date]],"d")</f>
        <v>16</v>
      </c>
    </row>
    <row r="55" spans="1:10" ht="16">
      <c r="A55" s="15">
        <v>248</v>
      </c>
      <c r="B55" s="15">
        <v>17693</v>
      </c>
      <c r="C55" s="16" t="s">
        <v>33</v>
      </c>
      <c r="D55" s="17">
        <v>44949</v>
      </c>
      <c r="E55" s="17">
        <v>44949</v>
      </c>
      <c r="F55" s="17">
        <v>44966</v>
      </c>
      <c r="G55" s="16"/>
      <c r="H55" s="16"/>
      <c r="I55" s="18">
        <f t="shared" si="2"/>
        <v>1</v>
      </c>
      <c r="J55" s="32">
        <f>DATEDIF(Table5[[#This Row],[Discharge Date 1]], Table5[[#This Row],[Post-Discharge Visit Date]],"d")</f>
        <v>17</v>
      </c>
    </row>
    <row r="56" spans="1:10" ht="16">
      <c r="A56" s="11">
        <v>253</v>
      </c>
      <c r="B56" s="11">
        <v>27706</v>
      </c>
      <c r="C56" s="12" t="s">
        <v>33</v>
      </c>
      <c r="D56" s="13">
        <v>44953</v>
      </c>
      <c r="E56" s="13">
        <v>44958</v>
      </c>
      <c r="F56" s="13">
        <v>44967</v>
      </c>
      <c r="G56" s="12"/>
      <c r="H56" s="12"/>
      <c r="I56" s="14">
        <f t="shared" si="2"/>
        <v>1</v>
      </c>
      <c r="J56" s="32">
        <f>DATEDIF(Table5[[#This Row],[Discharge Date 1]], Table5[[#This Row],[Post-Discharge Visit Date]],"d")</f>
        <v>9</v>
      </c>
    </row>
    <row r="57" spans="1:10">
      <c r="A57" s="15">
        <v>256</v>
      </c>
      <c r="B57" s="15">
        <v>25104</v>
      </c>
      <c r="C57" s="16" t="s">
        <v>33</v>
      </c>
      <c r="D57" s="17">
        <v>44949</v>
      </c>
      <c r="E57" s="17">
        <v>44952</v>
      </c>
      <c r="F57" s="17">
        <v>44974</v>
      </c>
      <c r="G57" s="16"/>
      <c r="H57" s="16"/>
      <c r="I57" s="18">
        <f t="shared" si="2"/>
        <v>1</v>
      </c>
      <c r="J57" s="1"/>
    </row>
    <row r="58" spans="1:10">
      <c r="A58" s="11">
        <v>261</v>
      </c>
      <c r="B58" s="11">
        <v>25212</v>
      </c>
      <c r="C58" s="12" t="s">
        <v>33</v>
      </c>
      <c r="D58" s="13">
        <v>45049</v>
      </c>
      <c r="E58" s="13">
        <v>45050</v>
      </c>
      <c r="F58" s="13">
        <v>45056</v>
      </c>
      <c r="G58" s="12"/>
      <c r="H58" s="12"/>
      <c r="I58" s="14">
        <f t="shared" si="2"/>
        <v>1</v>
      </c>
      <c r="J58" s="29"/>
    </row>
    <row r="59" spans="1:10">
      <c r="A59" s="15">
        <v>265</v>
      </c>
      <c r="B59" s="15">
        <v>11480</v>
      </c>
      <c r="C59" s="16" t="s">
        <v>33</v>
      </c>
      <c r="D59" s="17">
        <v>45065</v>
      </c>
      <c r="E59" s="17">
        <v>45069</v>
      </c>
      <c r="F59" s="17">
        <v>45073</v>
      </c>
      <c r="G59" s="16"/>
      <c r="H59" s="16"/>
      <c r="I59" s="18">
        <f t="shared" si="2"/>
        <v>1</v>
      </c>
      <c r="J59" s="1"/>
    </row>
    <row r="60" spans="1:10">
      <c r="A60" s="11">
        <v>266</v>
      </c>
      <c r="B60" s="11">
        <v>25537</v>
      </c>
      <c r="C60" s="12" t="s">
        <v>33</v>
      </c>
      <c r="D60" s="13">
        <v>45048</v>
      </c>
      <c r="E60" s="13">
        <v>45053</v>
      </c>
      <c r="F60" s="13">
        <v>45054</v>
      </c>
      <c r="G60" s="13">
        <v>45072</v>
      </c>
      <c r="H60" s="13">
        <v>45077</v>
      </c>
      <c r="I60" s="14">
        <f t="shared" si="2"/>
        <v>1</v>
      </c>
      <c r="J60" s="29"/>
    </row>
    <row r="61" spans="1:10">
      <c r="A61" s="15">
        <v>274</v>
      </c>
      <c r="B61" s="15">
        <v>29869</v>
      </c>
      <c r="C61" s="16" t="s">
        <v>33</v>
      </c>
      <c r="D61" s="17">
        <v>44990</v>
      </c>
      <c r="E61" s="17">
        <v>44996</v>
      </c>
      <c r="F61" s="16"/>
      <c r="G61" s="17">
        <v>45026</v>
      </c>
      <c r="H61" s="17">
        <v>45032</v>
      </c>
      <c r="I61" s="18">
        <f t="shared" si="2"/>
        <v>1</v>
      </c>
      <c r="J61" s="1"/>
    </row>
    <row r="62" spans="1:10">
      <c r="A62" s="11">
        <v>282</v>
      </c>
      <c r="B62" s="11">
        <v>27064</v>
      </c>
      <c r="C62" s="12" t="s">
        <v>33</v>
      </c>
      <c r="D62" s="13">
        <v>45000</v>
      </c>
      <c r="E62" s="13">
        <v>45006</v>
      </c>
      <c r="F62" s="13">
        <v>45027</v>
      </c>
      <c r="G62" s="13">
        <v>45033</v>
      </c>
      <c r="H62" s="13">
        <v>45038</v>
      </c>
      <c r="I62" s="14">
        <f t="shared" si="2"/>
        <v>1</v>
      </c>
      <c r="J62" s="29"/>
    </row>
    <row r="63" spans="1:10">
      <c r="A63" s="15">
        <v>287</v>
      </c>
      <c r="B63" s="15">
        <v>23261</v>
      </c>
      <c r="C63" s="16" t="s">
        <v>33</v>
      </c>
      <c r="D63" s="17">
        <v>45010</v>
      </c>
      <c r="E63" s="17">
        <v>45015</v>
      </c>
      <c r="F63" s="17">
        <v>45030</v>
      </c>
      <c r="G63" s="16"/>
      <c r="H63" s="16"/>
      <c r="I63" s="18">
        <f t="shared" si="2"/>
        <v>0</v>
      </c>
      <c r="J63" s="1"/>
    </row>
    <row r="64" spans="1:10">
      <c r="A64" s="11">
        <v>297</v>
      </c>
      <c r="B64" s="11">
        <v>28846</v>
      </c>
      <c r="C64" s="12" t="s">
        <v>33</v>
      </c>
      <c r="D64" s="13">
        <v>44933</v>
      </c>
      <c r="E64" s="13">
        <v>44936</v>
      </c>
      <c r="F64" s="13">
        <v>44952</v>
      </c>
      <c r="G64" s="12"/>
      <c r="H64" s="12"/>
      <c r="I64" s="14">
        <f t="shared" si="2"/>
        <v>1</v>
      </c>
      <c r="J64" s="29"/>
    </row>
    <row r="65" spans="1:10">
      <c r="A65" s="15">
        <v>298</v>
      </c>
      <c r="B65" s="15">
        <v>13694</v>
      </c>
      <c r="C65" s="16" t="s">
        <v>33</v>
      </c>
      <c r="D65" s="17">
        <v>44946</v>
      </c>
      <c r="E65" s="17">
        <v>44946</v>
      </c>
      <c r="F65" s="17">
        <v>44949</v>
      </c>
      <c r="G65" s="16"/>
      <c r="H65" s="16"/>
      <c r="I65" s="18">
        <f t="shared" si="2"/>
        <v>1</v>
      </c>
      <c r="J65" s="1"/>
    </row>
    <row r="66" spans="1:10">
      <c r="A66" s="11">
        <v>299</v>
      </c>
      <c r="B66" s="11">
        <v>10075</v>
      </c>
      <c r="C66" s="12" t="s">
        <v>33</v>
      </c>
      <c r="D66" s="13">
        <v>44970</v>
      </c>
      <c r="E66" s="13">
        <v>44973</v>
      </c>
      <c r="F66" s="13">
        <v>44977</v>
      </c>
      <c r="G66" s="13">
        <v>45002</v>
      </c>
      <c r="H66" s="13">
        <v>45008</v>
      </c>
      <c r="I66" s="14">
        <f t="shared" si="2"/>
        <v>1</v>
      </c>
      <c r="J66" s="29"/>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04910-C3A9-46EF-8D41-FB89BAA96FC8}">
  <dimension ref="A1:S65"/>
  <sheetViews>
    <sheetView topLeftCell="C1" workbookViewId="0">
      <selection activeCell="Q2" sqref="Q2"/>
    </sheetView>
  </sheetViews>
  <sheetFormatPr baseColWidth="10" defaultColWidth="8.83203125" defaultRowHeight="13"/>
  <cols>
    <col min="1" max="1" width="9.5" bestFit="1" customWidth="1"/>
    <col min="2" max="2" width="11.5" bestFit="1" customWidth="1"/>
    <col min="3" max="3" width="14.5" customWidth="1"/>
    <col min="4" max="4" width="18.6640625" bestFit="1" customWidth="1"/>
    <col min="5" max="5" width="16.83203125" bestFit="1" customWidth="1"/>
    <col min="6" max="6" width="17.6640625" bestFit="1" customWidth="1"/>
    <col min="7" max="7" width="17.1640625" bestFit="1" customWidth="1"/>
    <col min="8" max="8" width="17.6640625" bestFit="1" customWidth="1"/>
    <col min="9" max="9" width="16.6640625" bestFit="1" customWidth="1"/>
    <col min="10" max="10" width="17.6640625" bestFit="1" customWidth="1"/>
    <col min="11" max="11" width="16.33203125" bestFit="1" customWidth="1"/>
    <col min="12" max="12" width="13.83203125" customWidth="1"/>
    <col min="13" max="13" width="30.5" bestFit="1" customWidth="1"/>
    <col min="14" max="14" width="36.5" bestFit="1" customWidth="1"/>
    <col min="15" max="15" width="23.83203125" bestFit="1" customWidth="1"/>
    <col min="16" max="17" width="36.5" bestFit="1" customWidth="1"/>
  </cols>
  <sheetData>
    <row r="1" spans="1:19" ht="84">
      <c r="A1" s="22" t="s">
        <v>22</v>
      </c>
      <c r="B1" s="19" t="s">
        <v>23</v>
      </c>
      <c r="C1" s="19" t="s">
        <v>24</v>
      </c>
      <c r="D1" s="19" t="s">
        <v>25</v>
      </c>
      <c r="E1" s="19" t="s">
        <v>26</v>
      </c>
      <c r="F1" s="19" t="s">
        <v>27</v>
      </c>
      <c r="G1" s="19" t="s">
        <v>28</v>
      </c>
      <c r="H1" s="19" t="s">
        <v>29</v>
      </c>
      <c r="I1" s="27" t="s">
        <v>30</v>
      </c>
      <c r="J1" s="30" t="s">
        <v>63</v>
      </c>
      <c r="K1" s="20" t="s">
        <v>35</v>
      </c>
      <c r="L1" s="20" t="s">
        <v>64</v>
      </c>
      <c r="M1" t="s">
        <v>37</v>
      </c>
      <c r="N1" s="20" t="s">
        <v>65</v>
      </c>
      <c r="O1" t="s">
        <v>39</v>
      </c>
      <c r="P1" t="s">
        <v>40</v>
      </c>
      <c r="Q1" t="s">
        <v>55</v>
      </c>
      <c r="R1" s="20" t="s">
        <v>62</v>
      </c>
      <c r="S1" s="20" t="s">
        <v>66</v>
      </c>
    </row>
    <row r="2" spans="1:19">
      <c r="A2" s="23">
        <v>14</v>
      </c>
      <c r="B2" s="11">
        <v>21200</v>
      </c>
      <c r="C2" s="12" t="s">
        <v>49</v>
      </c>
      <c r="D2" s="13">
        <v>45038</v>
      </c>
      <c r="E2" s="13">
        <v>45039</v>
      </c>
      <c r="F2" s="12"/>
      <c r="G2" s="13">
        <v>45054</v>
      </c>
      <c r="H2" s="13">
        <v>45060</v>
      </c>
      <c r="I2" s="14">
        <f t="shared" ref="I2:I65" si="0">IF(ISBLANK(F2),0,1)</f>
        <v>0</v>
      </c>
      <c r="J2" s="33" t="s">
        <v>58</v>
      </c>
      <c r="K2">
        <f>COUNT(B2:B65)</f>
        <v>64</v>
      </c>
      <c r="L2">
        <f>SUM(I2:I65)</f>
        <v>55</v>
      </c>
      <c r="M2" s="21">
        <f>L2/K2</f>
        <v>0.859375</v>
      </c>
      <c r="N2" s="35">
        <f>AVERAGE(Table6[[Days Between Initial Dicharge and PDV ]])</f>
        <v>9.6181818181818191</v>
      </c>
      <c r="O2">
        <f>COUNTA(Table6[Readmission Date])</f>
        <v>10</v>
      </c>
      <c r="P2" s="36">
        <f>Table6[[#This Row],[Count of Readmissions]]/Table6[[#This Row],[Count of Admissions ]]</f>
        <v>0.15625</v>
      </c>
      <c r="Q2">
        <f>COUNTIFS(G2:G65, "&gt;" &amp; 0, I2:I65, 1)</f>
        <v>8</v>
      </c>
      <c r="R2" s="36">
        <f>Table6[[#This Row],[Count of Readmissions with PDV ]]/Table6[[#This Row],[Count of Readmissions]]</f>
        <v>0.8</v>
      </c>
      <c r="S2" s="36">
        <f>2/Table6[[#This Row],[Count of Readmissions]]</f>
        <v>0.2</v>
      </c>
    </row>
    <row r="3" spans="1:19">
      <c r="A3" s="24">
        <v>19</v>
      </c>
      <c r="B3" s="15">
        <v>24379</v>
      </c>
      <c r="C3" s="16" t="s">
        <v>49</v>
      </c>
      <c r="D3" s="17">
        <v>45020</v>
      </c>
      <c r="E3" s="17">
        <v>45022</v>
      </c>
      <c r="F3" s="17">
        <v>45038</v>
      </c>
      <c r="G3" s="16"/>
      <c r="H3" s="16"/>
      <c r="I3" s="18">
        <f t="shared" si="0"/>
        <v>1</v>
      </c>
      <c r="J3" s="33">
        <f>DATEDIF(Table6[[#This Row],[Discharge Date 1]],Table6[[#This Row],[Post-Discharge Visit Date]],"d")</f>
        <v>16</v>
      </c>
      <c r="R3" s="36"/>
    </row>
    <row r="4" spans="1:19">
      <c r="A4" s="23">
        <v>20</v>
      </c>
      <c r="B4" s="11">
        <v>12402</v>
      </c>
      <c r="C4" s="12" t="s">
        <v>49</v>
      </c>
      <c r="D4" s="13">
        <v>45025</v>
      </c>
      <c r="E4" s="13">
        <v>45031</v>
      </c>
      <c r="F4" s="12"/>
      <c r="G4" s="12"/>
      <c r="H4" s="12"/>
      <c r="I4" s="14">
        <f t="shared" si="0"/>
        <v>0</v>
      </c>
      <c r="J4" s="33" t="s">
        <v>67</v>
      </c>
      <c r="R4" s="36"/>
    </row>
    <row r="5" spans="1:19">
      <c r="A5" s="24">
        <v>22</v>
      </c>
      <c r="B5" s="15">
        <v>16902</v>
      </c>
      <c r="C5" s="16" t="s">
        <v>49</v>
      </c>
      <c r="D5" s="17">
        <v>45022</v>
      </c>
      <c r="E5" s="17">
        <v>45024</v>
      </c>
      <c r="F5" s="17">
        <v>45028</v>
      </c>
      <c r="G5" s="16"/>
      <c r="H5" s="16"/>
      <c r="I5" s="18">
        <f t="shared" si="0"/>
        <v>1</v>
      </c>
      <c r="J5" s="33">
        <f>DATEDIF(Table6[[#This Row],[Discharge Date 1]],Table6[[#This Row],[Post-Discharge Visit Date]],"d")</f>
        <v>4</v>
      </c>
      <c r="R5" s="36"/>
    </row>
    <row r="6" spans="1:19">
      <c r="A6" s="23">
        <v>23</v>
      </c>
      <c r="B6" s="11">
        <v>19651</v>
      </c>
      <c r="C6" s="12" t="s">
        <v>49</v>
      </c>
      <c r="D6" s="13">
        <v>45063</v>
      </c>
      <c r="E6" s="13">
        <v>45063</v>
      </c>
      <c r="F6" s="13">
        <v>45080</v>
      </c>
      <c r="G6" s="12"/>
      <c r="H6" s="12"/>
      <c r="I6" s="14">
        <f t="shared" si="0"/>
        <v>1</v>
      </c>
      <c r="J6" s="33">
        <f>DATEDIF(Table6[[#This Row],[Discharge Date 1]],Table6[[#This Row],[Post-Discharge Visit Date]],"d")</f>
        <v>17</v>
      </c>
      <c r="R6" s="36"/>
    </row>
    <row r="7" spans="1:19">
      <c r="A7" s="24">
        <v>35</v>
      </c>
      <c r="B7" s="15">
        <v>17448</v>
      </c>
      <c r="C7" s="16" t="s">
        <v>49</v>
      </c>
      <c r="D7" s="17">
        <v>45051</v>
      </c>
      <c r="E7" s="17">
        <v>45053</v>
      </c>
      <c r="F7" s="17">
        <v>45055</v>
      </c>
      <c r="G7" s="16"/>
      <c r="H7" s="16"/>
      <c r="I7" s="18">
        <f t="shared" si="0"/>
        <v>1</v>
      </c>
      <c r="J7" s="33">
        <f>DATEDIF(Table6[[#This Row],[Discharge Date 1]],Table6[[#This Row],[Post-Discharge Visit Date]],"d")</f>
        <v>2</v>
      </c>
      <c r="R7" s="36"/>
    </row>
    <row r="8" spans="1:19">
      <c r="A8" s="23">
        <v>36</v>
      </c>
      <c r="B8" s="11">
        <v>19842</v>
      </c>
      <c r="C8" s="12" t="s">
        <v>49</v>
      </c>
      <c r="D8" s="13">
        <v>44936</v>
      </c>
      <c r="E8" s="13">
        <v>44937</v>
      </c>
      <c r="F8" s="12"/>
      <c r="G8" s="12"/>
      <c r="H8" s="12"/>
      <c r="I8" s="14">
        <f t="shared" si="0"/>
        <v>0</v>
      </c>
      <c r="J8" s="33" t="s">
        <v>67</v>
      </c>
      <c r="R8" s="36"/>
    </row>
    <row r="9" spans="1:19">
      <c r="A9" s="24">
        <v>39</v>
      </c>
      <c r="B9" s="15">
        <v>19470</v>
      </c>
      <c r="C9" s="16" t="s">
        <v>49</v>
      </c>
      <c r="D9" s="17">
        <v>45060</v>
      </c>
      <c r="E9" s="17">
        <v>45064</v>
      </c>
      <c r="F9" s="17">
        <v>45074</v>
      </c>
      <c r="G9" s="16"/>
      <c r="H9" s="16"/>
      <c r="I9" s="18">
        <f t="shared" si="0"/>
        <v>1</v>
      </c>
      <c r="J9" s="33">
        <f>DATEDIF(Table6[[#This Row],[Discharge Date 1]],Table6[[#This Row],[Post-Discharge Visit Date]],"d")</f>
        <v>10</v>
      </c>
      <c r="R9" s="36"/>
    </row>
    <row r="10" spans="1:19">
      <c r="A10" s="23">
        <v>41</v>
      </c>
      <c r="B10" s="11">
        <v>12466</v>
      </c>
      <c r="C10" s="12" t="s">
        <v>49</v>
      </c>
      <c r="D10" s="13">
        <v>45060</v>
      </c>
      <c r="E10" s="13">
        <v>45063</v>
      </c>
      <c r="F10" s="13">
        <v>45076</v>
      </c>
      <c r="G10" s="12"/>
      <c r="H10" s="12"/>
      <c r="I10" s="14">
        <f t="shared" si="0"/>
        <v>1</v>
      </c>
      <c r="J10" s="33">
        <f>DATEDIF(Table6[[#This Row],[Discharge Date 1]],Table6[[#This Row],[Post-Discharge Visit Date]],"d")</f>
        <v>13</v>
      </c>
      <c r="R10" s="36"/>
    </row>
    <row r="11" spans="1:19">
      <c r="A11" s="24">
        <v>44</v>
      </c>
      <c r="B11" s="15">
        <v>29719</v>
      </c>
      <c r="C11" s="16" t="s">
        <v>49</v>
      </c>
      <c r="D11" s="17">
        <v>44964</v>
      </c>
      <c r="E11" s="17">
        <v>44970</v>
      </c>
      <c r="F11" s="17">
        <v>44980</v>
      </c>
      <c r="G11" s="16"/>
      <c r="H11" s="16"/>
      <c r="I11" s="18">
        <f t="shared" si="0"/>
        <v>1</v>
      </c>
      <c r="J11" s="33">
        <f>DATEDIF(Table6[[#This Row],[Discharge Date 1]],Table6[[#This Row],[Post-Discharge Visit Date]],"d")</f>
        <v>10</v>
      </c>
      <c r="R11" s="36"/>
    </row>
    <row r="12" spans="1:19">
      <c r="A12" s="23">
        <v>45</v>
      </c>
      <c r="B12" s="11">
        <v>25733</v>
      </c>
      <c r="C12" s="12" t="s">
        <v>49</v>
      </c>
      <c r="D12" s="13">
        <v>45064</v>
      </c>
      <c r="E12" s="13">
        <v>45068</v>
      </c>
      <c r="F12" s="12"/>
      <c r="G12" s="12"/>
      <c r="H12" s="12"/>
      <c r="I12" s="14">
        <f t="shared" si="0"/>
        <v>0</v>
      </c>
      <c r="J12" s="33" t="s">
        <v>67</v>
      </c>
      <c r="R12" s="36"/>
    </row>
    <row r="13" spans="1:19">
      <c r="A13" s="24">
        <v>46</v>
      </c>
      <c r="B13" s="15">
        <v>26071</v>
      </c>
      <c r="C13" s="16" t="s">
        <v>49</v>
      </c>
      <c r="D13" s="17">
        <v>45013</v>
      </c>
      <c r="E13" s="17">
        <v>45016</v>
      </c>
      <c r="F13" s="17">
        <v>45024</v>
      </c>
      <c r="G13" s="16"/>
      <c r="H13" s="16"/>
      <c r="I13" s="18">
        <f t="shared" si="0"/>
        <v>1</v>
      </c>
      <c r="J13" s="33">
        <f>DATEDIF(Table6[[#This Row],[Discharge Date 1]],Table6[[#This Row],[Post-Discharge Visit Date]],"d")</f>
        <v>8</v>
      </c>
      <c r="R13" s="36"/>
    </row>
    <row r="14" spans="1:19">
      <c r="A14" s="23">
        <v>53</v>
      </c>
      <c r="B14" s="11">
        <v>14400</v>
      </c>
      <c r="C14" s="12" t="s">
        <v>49</v>
      </c>
      <c r="D14" s="13">
        <v>44995</v>
      </c>
      <c r="E14" s="13">
        <v>44998</v>
      </c>
      <c r="F14" s="13">
        <v>45006</v>
      </c>
      <c r="G14" s="12"/>
      <c r="H14" s="12"/>
      <c r="I14" s="14">
        <f t="shared" si="0"/>
        <v>1</v>
      </c>
      <c r="J14" s="33">
        <f>DATEDIF(Table6[[#This Row],[Discharge Date 1]],Table6[[#This Row],[Post-Discharge Visit Date]],"d")</f>
        <v>8</v>
      </c>
      <c r="R14" s="36"/>
    </row>
    <row r="15" spans="1:19">
      <c r="A15" s="24">
        <v>58</v>
      </c>
      <c r="B15" s="15">
        <v>24781</v>
      </c>
      <c r="C15" s="16" t="s">
        <v>49</v>
      </c>
      <c r="D15" s="17">
        <v>45063</v>
      </c>
      <c r="E15" s="17">
        <v>45063</v>
      </c>
      <c r="F15" s="16"/>
      <c r="G15" s="16"/>
      <c r="H15" s="16"/>
      <c r="I15" s="18">
        <f t="shared" si="0"/>
        <v>0</v>
      </c>
      <c r="J15" s="33" t="s">
        <v>67</v>
      </c>
      <c r="R15" s="36"/>
    </row>
    <row r="16" spans="1:19">
      <c r="A16" s="23">
        <v>63</v>
      </c>
      <c r="B16" s="11">
        <v>15391</v>
      </c>
      <c r="C16" s="12" t="s">
        <v>49</v>
      </c>
      <c r="D16" s="13">
        <v>45043</v>
      </c>
      <c r="E16" s="13">
        <v>45046</v>
      </c>
      <c r="F16" s="13">
        <v>45048</v>
      </c>
      <c r="G16" s="12"/>
      <c r="H16" s="12"/>
      <c r="I16" s="14">
        <f t="shared" si="0"/>
        <v>1</v>
      </c>
      <c r="J16" s="33">
        <f>DATEDIF(Table6[[#This Row],[Discharge Date 1]],Table6[[#This Row],[Post-Discharge Visit Date]],"d")</f>
        <v>2</v>
      </c>
      <c r="R16" s="36"/>
    </row>
    <row r="17" spans="1:18">
      <c r="A17" s="24">
        <v>76</v>
      </c>
      <c r="B17" s="15">
        <v>23440</v>
      </c>
      <c r="C17" s="16" t="s">
        <v>49</v>
      </c>
      <c r="D17" s="17">
        <v>44973</v>
      </c>
      <c r="E17" s="17">
        <v>44978</v>
      </c>
      <c r="F17" s="17">
        <v>44986</v>
      </c>
      <c r="G17" s="16"/>
      <c r="H17" s="16"/>
      <c r="I17" s="18">
        <f t="shared" si="0"/>
        <v>1</v>
      </c>
      <c r="J17" s="33">
        <f>DATEDIF(Table6[[#This Row],[Discharge Date 1]],Table6[[#This Row],[Post-Discharge Visit Date]],"d")</f>
        <v>8</v>
      </c>
      <c r="R17" s="36"/>
    </row>
    <row r="18" spans="1:18">
      <c r="A18" s="23">
        <v>79</v>
      </c>
      <c r="B18" s="11">
        <v>17466</v>
      </c>
      <c r="C18" s="12" t="s">
        <v>49</v>
      </c>
      <c r="D18" s="13">
        <v>45015</v>
      </c>
      <c r="E18" s="13">
        <v>45021</v>
      </c>
      <c r="F18" s="13">
        <v>45024</v>
      </c>
      <c r="G18" s="12"/>
      <c r="H18" s="12"/>
      <c r="I18" s="14">
        <f t="shared" si="0"/>
        <v>1</v>
      </c>
      <c r="J18" s="33">
        <f>DATEDIF(Table6[[#This Row],[Discharge Date 1]],Table6[[#This Row],[Post-Discharge Visit Date]],"d")</f>
        <v>3</v>
      </c>
      <c r="R18" s="36"/>
    </row>
    <row r="19" spans="1:18">
      <c r="A19" s="24">
        <v>82</v>
      </c>
      <c r="B19" s="15">
        <v>27202</v>
      </c>
      <c r="C19" s="16" t="s">
        <v>49</v>
      </c>
      <c r="D19" s="17">
        <v>45060</v>
      </c>
      <c r="E19" s="17">
        <v>45064</v>
      </c>
      <c r="F19" s="17">
        <v>45072</v>
      </c>
      <c r="G19" s="17">
        <v>45077</v>
      </c>
      <c r="H19" s="17">
        <v>45081</v>
      </c>
      <c r="I19" s="18">
        <f t="shared" si="0"/>
        <v>1</v>
      </c>
      <c r="J19" s="33">
        <f>DATEDIF(Table6[[#This Row],[Discharge Date 1]],Table6[[#This Row],[Post-Discharge Visit Date]],"d")</f>
        <v>8</v>
      </c>
      <c r="R19" s="36"/>
    </row>
    <row r="20" spans="1:18">
      <c r="A20" s="23">
        <v>90</v>
      </c>
      <c r="B20" s="11">
        <v>24423</v>
      </c>
      <c r="C20" s="12" t="s">
        <v>49</v>
      </c>
      <c r="D20" s="13">
        <v>44929</v>
      </c>
      <c r="E20" s="13">
        <v>44932</v>
      </c>
      <c r="F20" s="12"/>
      <c r="G20" s="12"/>
      <c r="H20" s="12"/>
      <c r="I20" s="14">
        <f t="shared" si="0"/>
        <v>0</v>
      </c>
      <c r="J20" s="33" t="s">
        <v>67</v>
      </c>
      <c r="R20" s="36"/>
    </row>
    <row r="21" spans="1:18">
      <c r="A21" s="24">
        <v>103</v>
      </c>
      <c r="B21" s="15">
        <v>27845</v>
      </c>
      <c r="C21" s="16" t="s">
        <v>49</v>
      </c>
      <c r="D21" s="17">
        <v>44963</v>
      </c>
      <c r="E21" s="17">
        <v>44964</v>
      </c>
      <c r="F21" s="17">
        <v>44964</v>
      </c>
      <c r="G21" s="16"/>
      <c r="H21" s="16"/>
      <c r="I21" s="18">
        <f t="shared" si="0"/>
        <v>1</v>
      </c>
      <c r="J21" s="33">
        <f>DATEDIF(Table6[[#This Row],[Discharge Date 1]],Table6[[#This Row],[Post-Discharge Visit Date]],"d")</f>
        <v>0</v>
      </c>
      <c r="R21" s="36"/>
    </row>
    <row r="22" spans="1:18">
      <c r="A22" s="23">
        <v>105</v>
      </c>
      <c r="B22" s="11">
        <v>17847</v>
      </c>
      <c r="C22" s="12" t="s">
        <v>49</v>
      </c>
      <c r="D22" s="13">
        <v>44977</v>
      </c>
      <c r="E22" s="13">
        <v>44982</v>
      </c>
      <c r="F22" s="13">
        <v>44990</v>
      </c>
      <c r="G22" s="12"/>
      <c r="H22" s="12"/>
      <c r="I22" s="14">
        <f t="shared" si="0"/>
        <v>1</v>
      </c>
      <c r="J22" s="33">
        <f>DATEDIF(Table6[[#This Row],[Discharge Date 1]],Table6[[#This Row],[Post-Discharge Visit Date]],"d")</f>
        <v>8</v>
      </c>
      <c r="R22" s="36"/>
    </row>
    <row r="23" spans="1:18">
      <c r="A23" s="24">
        <v>110</v>
      </c>
      <c r="B23" s="15">
        <v>23237</v>
      </c>
      <c r="C23" s="16" t="s">
        <v>49</v>
      </c>
      <c r="D23" s="17">
        <v>44957</v>
      </c>
      <c r="E23" s="17">
        <v>44960</v>
      </c>
      <c r="F23" s="16"/>
      <c r="G23" s="16"/>
      <c r="H23" s="16"/>
      <c r="I23" s="18">
        <f t="shared" si="0"/>
        <v>0</v>
      </c>
      <c r="J23" s="33" t="s">
        <v>67</v>
      </c>
      <c r="R23" s="36"/>
    </row>
    <row r="24" spans="1:18">
      <c r="A24" s="23">
        <v>117</v>
      </c>
      <c r="B24" s="11">
        <v>26468</v>
      </c>
      <c r="C24" s="12" t="s">
        <v>49</v>
      </c>
      <c r="D24" s="13">
        <v>45060</v>
      </c>
      <c r="E24" s="13">
        <v>45066</v>
      </c>
      <c r="F24" s="13">
        <v>45075</v>
      </c>
      <c r="G24" s="12"/>
      <c r="H24" s="12"/>
      <c r="I24" s="14">
        <f t="shared" si="0"/>
        <v>1</v>
      </c>
      <c r="J24" s="33">
        <f>DATEDIF(Table6[[#This Row],[Discharge Date 1]],Table6[[#This Row],[Post-Discharge Visit Date]],"d")</f>
        <v>9</v>
      </c>
      <c r="R24" s="36"/>
    </row>
    <row r="25" spans="1:18">
      <c r="A25" s="24">
        <v>122</v>
      </c>
      <c r="B25" s="15">
        <v>27221</v>
      </c>
      <c r="C25" s="16" t="s">
        <v>49</v>
      </c>
      <c r="D25" s="17">
        <v>44934</v>
      </c>
      <c r="E25" s="17">
        <v>44939</v>
      </c>
      <c r="F25" s="17">
        <v>44957</v>
      </c>
      <c r="G25" s="16"/>
      <c r="H25" s="16"/>
      <c r="I25" s="18">
        <f t="shared" si="0"/>
        <v>1</v>
      </c>
      <c r="J25" s="33">
        <f>DATEDIF(Table6[[#This Row],[Discharge Date 1]],Table6[[#This Row],[Post-Discharge Visit Date]],"d")</f>
        <v>18</v>
      </c>
      <c r="R25" s="36"/>
    </row>
    <row r="26" spans="1:18">
      <c r="A26" s="23">
        <v>126</v>
      </c>
      <c r="B26" s="11">
        <v>22659</v>
      </c>
      <c r="C26" s="12" t="s">
        <v>49</v>
      </c>
      <c r="D26" s="13">
        <v>45031</v>
      </c>
      <c r="E26" s="13">
        <v>45031</v>
      </c>
      <c r="F26" s="13">
        <v>45042</v>
      </c>
      <c r="G26" s="12"/>
      <c r="H26" s="12"/>
      <c r="I26" s="14">
        <f t="shared" si="0"/>
        <v>1</v>
      </c>
      <c r="J26" s="33">
        <f>DATEDIF(Table6[[#This Row],[Discharge Date 1]],Table6[[#This Row],[Post-Discharge Visit Date]],"d")</f>
        <v>11</v>
      </c>
      <c r="R26" s="36"/>
    </row>
    <row r="27" spans="1:18">
      <c r="A27" s="24">
        <v>132</v>
      </c>
      <c r="B27" s="15">
        <v>20705</v>
      </c>
      <c r="C27" s="16" t="s">
        <v>49</v>
      </c>
      <c r="D27" s="17">
        <v>45023</v>
      </c>
      <c r="E27" s="17">
        <v>45028</v>
      </c>
      <c r="F27" s="17">
        <v>45036</v>
      </c>
      <c r="G27" s="17">
        <v>45058</v>
      </c>
      <c r="H27" s="17">
        <v>45059</v>
      </c>
      <c r="I27" s="18">
        <f t="shared" si="0"/>
        <v>1</v>
      </c>
      <c r="J27" s="33">
        <f>DATEDIF(Table6[[#This Row],[Discharge Date 1]],Table6[[#This Row],[Post-Discharge Visit Date]],"d")</f>
        <v>8</v>
      </c>
      <c r="R27" s="36"/>
    </row>
    <row r="28" spans="1:18">
      <c r="A28" s="23">
        <v>133</v>
      </c>
      <c r="B28" s="11">
        <v>16197</v>
      </c>
      <c r="C28" s="12" t="s">
        <v>49</v>
      </c>
      <c r="D28" s="13">
        <v>45077</v>
      </c>
      <c r="E28" s="13">
        <v>45079</v>
      </c>
      <c r="F28" s="13">
        <v>45086</v>
      </c>
      <c r="G28" s="13">
        <v>45102</v>
      </c>
      <c r="H28" s="13">
        <v>45106</v>
      </c>
      <c r="I28" s="14">
        <f t="shared" si="0"/>
        <v>1</v>
      </c>
      <c r="J28" s="33">
        <f>DATEDIF(Table6[[#This Row],[Discharge Date 1]],Table6[[#This Row],[Post-Discharge Visit Date]],"d")</f>
        <v>7</v>
      </c>
      <c r="R28" s="36"/>
    </row>
    <row r="29" spans="1:18">
      <c r="A29" s="24">
        <v>135</v>
      </c>
      <c r="B29" s="15">
        <v>20449</v>
      </c>
      <c r="C29" s="16" t="s">
        <v>49</v>
      </c>
      <c r="D29" s="17">
        <v>44961</v>
      </c>
      <c r="E29" s="17">
        <v>44966</v>
      </c>
      <c r="F29" s="17">
        <v>44970</v>
      </c>
      <c r="G29" s="16"/>
      <c r="H29" s="16"/>
      <c r="I29" s="18">
        <f t="shared" si="0"/>
        <v>1</v>
      </c>
      <c r="J29" s="33">
        <f>DATEDIF(Table6[[#This Row],[Discharge Date 1]],Table6[[#This Row],[Post-Discharge Visit Date]],"d")</f>
        <v>4</v>
      </c>
      <c r="R29" s="36"/>
    </row>
    <row r="30" spans="1:18">
      <c r="A30" s="23">
        <v>140</v>
      </c>
      <c r="B30" s="11">
        <v>22684</v>
      </c>
      <c r="C30" s="12" t="s">
        <v>49</v>
      </c>
      <c r="D30" s="13">
        <v>45053</v>
      </c>
      <c r="E30" s="13">
        <v>45054</v>
      </c>
      <c r="F30" s="13">
        <v>45073</v>
      </c>
      <c r="G30" s="12"/>
      <c r="H30" s="12"/>
      <c r="I30" s="14">
        <f t="shared" si="0"/>
        <v>1</v>
      </c>
      <c r="J30" s="33">
        <f>DATEDIF(Table6[[#This Row],[Discharge Date 1]],Table6[[#This Row],[Post-Discharge Visit Date]],"d")</f>
        <v>19</v>
      </c>
      <c r="R30" s="36"/>
    </row>
    <row r="31" spans="1:18">
      <c r="A31" s="24">
        <v>143</v>
      </c>
      <c r="B31" s="15">
        <v>18667</v>
      </c>
      <c r="C31" s="16" t="s">
        <v>49</v>
      </c>
      <c r="D31" s="17">
        <v>45053</v>
      </c>
      <c r="E31" s="17">
        <v>45056</v>
      </c>
      <c r="F31" s="17">
        <v>45062</v>
      </c>
      <c r="G31" s="16"/>
      <c r="H31" s="16"/>
      <c r="I31" s="18">
        <f t="shared" si="0"/>
        <v>1</v>
      </c>
      <c r="J31" s="33">
        <f>DATEDIF(Table6[[#This Row],[Discharge Date 1]],Table6[[#This Row],[Post-Discharge Visit Date]],"d")</f>
        <v>6</v>
      </c>
      <c r="R31" s="36"/>
    </row>
    <row r="32" spans="1:18">
      <c r="A32" s="23">
        <v>144</v>
      </c>
      <c r="B32" s="11">
        <v>25813</v>
      </c>
      <c r="C32" s="12" t="s">
        <v>49</v>
      </c>
      <c r="D32" s="13">
        <v>44940</v>
      </c>
      <c r="E32" s="13">
        <v>44946</v>
      </c>
      <c r="F32" s="13">
        <v>44953</v>
      </c>
      <c r="G32" s="12"/>
      <c r="H32" s="12"/>
      <c r="I32" s="14">
        <f t="shared" si="0"/>
        <v>1</v>
      </c>
      <c r="J32" s="33">
        <f>DATEDIF(Table6[[#This Row],[Discharge Date 1]],Table6[[#This Row],[Post-Discharge Visit Date]],"d")</f>
        <v>7</v>
      </c>
      <c r="R32" s="36"/>
    </row>
    <row r="33" spans="1:18">
      <c r="A33" s="24">
        <v>146</v>
      </c>
      <c r="B33" s="15">
        <v>20063</v>
      </c>
      <c r="C33" s="16" t="s">
        <v>49</v>
      </c>
      <c r="D33" s="17">
        <v>45052</v>
      </c>
      <c r="E33" s="17">
        <v>45052</v>
      </c>
      <c r="F33" s="17">
        <v>45056</v>
      </c>
      <c r="G33" s="16"/>
      <c r="H33" s="16"/>
      <c r="I33" s="18">
        <f t="shared" si="0"/>
        <v>1</v>
      </c>
      <c r="J33" s="33">
        <f>DATEDIF(Table6[[#This Row],[Discharge Date 1]],Table6[[#This Row],[Post-Discharge Visit Date]],"d")</f>
        <v>4</v>
      </c>
      <c r="R33" s="36"/>
    </row>
    <row r="34" spans="1:18">
      <c r="A34" s="23">
        <v>150</v>
      </c>
      <c r="B34" s="11">
        <v>25726</v>
      </c>
      <c r="C34" s="12" t="s">
        <v>49</v>
      </c>
      <c r="D34" s="13">
        <v>44928</v>
      </c>
      <c r="E34" s="13">
        <v>44930</v>
      </c>
      <c r="F34" s="13">
        <v>44940</v>
      </c>
      <c r="G34" s="12"/>
      <c r="H34" s="12"/>
      <c r="I34" s="14">
        <f t="shared" si="0"/>
        <v>1</v>
      </c>
      <c r="J34" s="33">
        <f>DATEDIF(Table6[[#This Row],[Discharge Date 1]],Table6[[#This Row],[Post-Discharge Visit Date]],"d")</f>
        <v>10</v>
      </c>
      <c r="R34" s="36"/>
    </row>
    <row r="35" spans="1:18">
      <c r="A35" s="24">
        <v>154</v>
      </c>
      <c r="B35" s="15">
        <v>24080</v>
      </c>
      <c r="C35" s="16" t="s">
        <v>49</v>
      </c>
      <c r="D35" s="17">
        <v>44996</v>
      </c>
      <c r="E35" s="17">
        <v>44996</v>
      </c>
      <c r="F35" s="17">
        <v>45014</v>
      </c>
      <c r="G35" s="16"/>
      <c r="H35" s="16"/>
      <c r="I35" s="18">
        <f t="shared" si="0"/>
        <v>1</v>
      </c>
      <c r="J35" s="33">
        <f>DATEDIF(Table6[[#This Row],[Discharge Date 1]],Table6[[#This Row],[Post-Discharge Visit Date]],"d")</f>
        <v>18</v>
      </c>
      <c r="R35" s="36"/>
    </row>
    <row r="36" spans="1:18">
      <c r="A36" s="23">
        <v>165</v>
      </c>
      <c r="B36" s="11">
        <v>29466</v>
      </c>
      <c r="C36" s="12" t="s">
        <v>49</v>
      </c>
      <c r="D36" s="13">
        <v>44991</v>
      </c>
      <c r="E36" s="13">
        <v>44994</v>
      </c>
      <c r="F36" s="13">
        <v>44994</v>
      </c>
      <c r="G36" s="12"/>
      <c r="H36" s="12"/>
      <c r="I36" s="14">
        <f t="shared" si="0"/>
        <v>1</v>
      </c>
      <c r="J36" s="33">
        <f>DATEDIF(Table6[[#This Row],[Discharge Date 1]],Table6[[#This Row],[Post-Discharge Visit Date]],"d")</f>
        <v>0</v>
      </c>
      <c r="R36" s="36"/>
    </row>
    <row r="37" spans="1:18">
      <c r="A37" s="24">
        <v>173</v>
      </c>
      <c r="B37" s="15">
        <v>21170</v>
      </c>
      <c r="C37" s="16" t="s">
        <v>49</v>
      </c>
      <c r="D37" s="17">
        <v>45050</v>
      </c>
      <c r="E37" s="17">
        <v>45052</v>
      </c>
      <c r="F37" s="17">
        <v>45064</v>
      </c>
      <c r="G37" s="16"/>
      <c r="H37" s="16"/>
      <c r="I37" s="18">
        <f t="shared" si="0"/>
        <v>1</v>
      </c>
      <c r="J37" s="33">
        <f>DATEDIF(Table6[[#This Row],[Discharge Date 1]],Table6[[#This Row],[Post-Discharge Visit Date]],"d")</f>
        <v>12</v>
      </c>
      <c r="R37" s="36"/>
    </row>
    <row r="38" spans="1:18">
      <c r="A38" s="23">
        <v>176</v>
      </c>
      <c r="B38" s="11">
        <v>29540</v>
      </c>
      <c r="C38" s="12" t="s">
        <v>49</v>
      </c>
      <c r="D38" s="13">
        <v>44956</v>
      </c>
      <c r="E38" s="13">
        <v>44956</v>
      </c>
      <c r="F38" s="12"/>
      <c r="G38" s="12"/>
      <c r="H38" s="12"/>
      <c r="I38" s="14">
        <f t="shared" si="0"/>
        <v>0</v>
      </c>
      <c r="J38" s="33" t="s">
        <v>67</v>
      </c>
      <c r="R38" s="36"/>
    </row>
    <row r="39" spans="1:18">
      <c r="A39" s="24">
        <v>178</v>
      </c>
      <c r="B39" s="15">
        <v>26872</v>
      </c>
      <c r="C39" s="16" t="s">
        <v>49</v>
      </c>
      <c r="D39" s="17">
        <v>44992</v>
      </c>
      <c r="E39" s="17">
        <v>44996</v>
      </c>
      <c r="F39" s="17">
        <v>45019</v>
      </c>
      <c r="G39" s="16"/>
      <c r="H39" s="16"/>
      <c r="I39" s="18">
        <f t="shared" si="0"/>
        <v>1</v>
      </c>
      <c r="J39" s="33">
        <f>DATEDIF(Table6[[#This Row],[Discharge Date 1]],Table6[[#This Row],[Post-Discharge Visit Date]],"d")</f>
        <v>23</v>
      </c>
      <c r="R39" s="36"/>
    </row>
    <row r="40" spans="1:18">
      <c r="A40" s="23">
        <v>179</v>
      </c>
      <c r="B40" s="11">
        <v>19221</v>
      </c>
      <c r="C40" s="12" t="s">
        <v>49</v>
      </c>
      <c r="D40" s="13">
        <v>45068</v>
      </c>
      <c r="E40" s="13">
        <v>45070</v>
      </c>
      <c r="F40" s="13">
        <v>45092</v>
      </c>
      <c r="G40" s="12"/>
      <c r="H40" s="12"/>
      <c r="I40" s="14">
        <f t="shared" si="0"/>
        <v>1</v>
      </c>
      <c r="J40" s="33">
        <f>DATEDIF(Table6[[#This Row],[Discharge Date 1]],Table6[[#This Row],[Post-Discharge Visit Date]],"d")</f>
        <v>22</v>
      </c>
      <c r="R40" s="36"/>
    </row>
    <row r="41" spans="1:18">
      <c r="A41" s="24">
        <v>181</v>
      </c>
      <c r="B41" s="15">
        <v>26539</v>
      </c>
      <c r="C41" s="16" t="s">
        <v>49</v>
      </c>
      <c r="D41" s="17">
        <v>44960</v>
      </c>
      <c r="E41" s="17">
        <v>44965</v>
      </c>
      <c r="F41" s="17">
        <v>44978</v>
      </c>
      <c r="G41" s="16"/>
      <c r="H41" s="16"/>
      <c r="I41" s="18">
        <f t="shared" si="0"/>
        <v>1</v>
      </c>
      <c r="J41" s="33">
        <f>DATEDIF(Table6[[#This Row],[Discharge Date 1]],Table6[[#This Row],[Post-Discharge Visit Date]],"d")</f>
        <v>13</v>
      </c>
      <c r="R41" s="36"/>
    </row>
    <row r="42" spans="1:18">
      <c r="A42" s="23">
        <v>186</v>
      </c>
      <c r="B42" s="11">
        <v>10480</v>
      </c>
      <c r="C42" s="12" t="s">
        <v>49</v>
      </c>
      <c r="D42" s="13">
        <v>45010</v>
      </c>
      <c r="E42" s="13">
        <v>45012</v>
      </c>
      <c r="F42" s="13">
        <v>45026</v>
      </c>
      <c r="G42" s="12"/>
      <c r="H42" s="12"/>
      <c r="I42" s="14">
        <f t="shared" si="0"/>
        <v>1</v>
      </c>
      <c r="J42" s="33">
        <f>DATEDIF(Table6[[#This Row],[Discharge Date 1]],Table6[[#This Row],[Post-Discharge Visit Date]],"d")</f>
        <v>14</v>
      </c>
      <c r="R42" s="36"/>
    </row>
    <row r="43" spans="1:18">
      <c r="A43" s="24">
        <v>187</v>
      </c>
      <c r="B43" s="15">
        <v>22026</v>
      </c>
      <c r="C43" s="16" t="s">
        <v>49</v>
      </c>
      <c r="D43" s="17">
        <v>45063</v>
      </c>
      <c r="E43" s="17">
        <v>45063</v>
      </c>
      <c r="F43" s="17">
        <v>45067</v>
      </c>
      <c r="G43" s="16"/>
      <c r="H43" s="16"/>
      <c r="I43" s="18">
        <f t="shared" si="0"/>
        <v>1</v>
      </c>
      <c r="J43" s="33">
        <f>DATEDIF(Table6[[#This Row],[Discharge Date 1]],Table6[[#This Row],[Post-Discharge Visit Date]],"d")</f>
        <v>4</v>
      </c>
      <c r="R43" s="36"/>
    </row>
    <row r="44" spans="1:18">
      <c r="A44" s="23">
        <v>189</v>
      </c>
      <c r="B44" s="11">
        <v>23904</v>
      </c>
      <c r="C44" s="12" t="s">
        <v>49</v>
      </c>
      <c r="D44" s="13">
        <v>45061</v>
      </c>
      <c r="E44" s="13">
        <v>45066</v>
      </c>
      <c r="F44" s="13">
        <v>45087</v>
      </c>
      <c r="G44" s="12"/>
      <c r="H44" s="12"/>
      <c r="I44" s="14">
        <f t="shared" si="0"/>
        <v>1</v>
      </c>
      <c r="J44" s="33">
        <f>DATEDIF(Table6[[#This Row],[Discharge Date 1]],Table6[[#This Row],[Post-Discharge Visit Date]],"d")</f>
        <v>21</v>
      </c>
      <c r="R44" s="36"/>
    </row>
    <row r="45" spans="1:18">
      <c r="A45" s="24">
        <v>193</v>
      </c>
      <c r="B45" s="15">
        <v>14070</v>
      </c>
      <c r="C45" s="16" t="s">
        <v>49</v>
      </c>
      <c r="D45" s="17">
        <v>45056</v>
      </c>
      <c r="E45" s="17">
        <v>45059</v>
      </c>
      <c r="F45" s="17">
        <v>45063</v>
      </c>
      <c r="G45" s="16"/>
      <c r="H45" s="16"/>
      <c r="I45" s="18">
        <f t="shared" si="0"/>
        <v>1</v>
      </c>
      <c r="J45" s="33">
        <f>DATEDIF(Table6[[#This Row],[Discharge Date 1]],Table6[[#This Row],[Post-Discharge Visit Date]],"d")</f>
        <v>4</v>
      </c>
      <c r="R45" s="36"/>
    </row>
    <row r="46" spans="1:18">
      <c r="A46" s="23">
        <v>197</v>
      </c>
      <c r="B46" s="11">
        <v>26967</v>
      </c>
      <c r="C46" s="12" t="s">
        <v>49</v>
      </c>
      <c r="D46" s="13">
        <v>44953</v>
      </c>
      <c r="E46" s="13">
        <v>44957</v>
      </c>
      <c r="F46" s="12"/>
      <c r="G46" s="13">
        <v>44986</v>
      </c>
      <c r="H46" s="13">
        <v>44992</v>
      </c>
      <c r="I46" s="14">
        <f t="shared" si="0"/>
        <v>0</v>
      </c>
      <c r="J46" s="33" t="s">
        <v>67</v>
      </c>
      <c r="R46" s="36"/>
    </row>
    <row r="47" spans="1:18">
      <c r="A47" s="24">
        <v>198</v>
      </c>
      <c r="B47" s="15">
        <v>26452</v>
      </c>
      <c r="C47" s="16" t="s">
        <v>49</v>
      </c>
      <c r="D47" s="17">
        <v>44935</v>
      </c>
      <c r="E47" s="17">
        <v>44941</v>
      </c>
      <c r="F47" s="17">
        <v>44962</v>
      </c>
      <c r="G47" s="16"/>
      <c r="H47" s="16"/>
      <c r="I47" s="18">
        <f t="shared" si="0"/>
        <v>1</v>
      </c>
      <c r="J47" s="33">
        <f>DATEDIF(Table6[[#This Row],[Discharge Date 1]],Table6[[#This Row],[Post-Discharge Visit Date]],"d")</f>
        <v>21</v>
      </c>
      <c r="R47" s="36"/>
    </row>
    <row r="48" spans="1:18">
      <c r="A48" s="23">
        <v>199</v>
      </c>
      <c r="B48" s="11">
        <v>11417</v>
      </c>
      <c r="C48" s="12" t="s">
        <v>49</v>
      </c>
      <c r="D48" s="13">
        <v>44977</v>
      </c>
      <c r="E48" s="13">
        <v>44980</v>
      </c>
      <c r="F48" s="13">
        <v>44995</v>
      </c>
      <c r="G48" s="12"/>
      <c r="H48" s="12"/>
      <c r="I48" s="14">
        <f t="shared" si="0"/>
        <v>1</v>
      </c>
      <c r="J48" s="33">
        <f>DATEDIF(Table6[[#This Row],[Discharge Date 1]],Table6[[#This Row],[Post-Discharge Visit Date]],"d")</f>
        <v>15</v>
      </c>
      <c r="R48" s="36"/>
    </row>
    <row r="49" spans="1:18">
      <c r="A49" s="24">
        <v>202</v>
      </c>
      <c r="B49" s="15">
        <v>17900</v>
      </c>
      <c r="C49" s="16" t="s">
        <v>49</v>
      </c>
      <c r="D49" s="17">
        <v>45068</v>
      </c>
      <c r="E49" s="17">
        <v>45069</v>
      </c>
      <c r="F49" s="17">
        <v>45077</v>
      </c>
      <c r="G49" s="16"/>
      <c r="H49" s="16"/>
      <c r="I49" s="18">
        <f t="shared" si="0"/>
        <v>1</v>
      </c>
      <c r="J49" s="33">
        <f>DATEDIF(Table6[[#This Row],[Discharge Date 1]],Table6[[#This Row],[Post-Discharge Visit Date]],"d")</f>
        <v>8</v>
      </c>
      <c r="R49" s="36"/>
    </row>
    <row r="50" spans="1:18">
      <c r="A50" s="23">
        <v>206</v>
      </c>
      <c r="B50" s="11">
        <v>14967</v>
      </c>
      <c r="C50" s="12" t="s">
        <v>49</v>
      </c>
      <c r="D50" s="13">
        <v>45046</v>
      </c>
      <c r="E50" s="13">
        <v>45048</v>
      </c>
      <c r="F50" s="13">
        <v>45059</v>
      </c>
      <c r="G50" s="12"/>
      <c r="H50" s="12"/>
      <c r="I50" s="14">
        <f t="shared" si="0"/>
        <v>1</v>
      </c>
      <c r="J50" s="33">
        <f>DATEDIF(Table6[[#This Row],[Discharge Date 1]],Table6[[#This Row],[Post-Discharge Visit Date]],"d")</f>
        <v>11</v>
      </c>
      <c r="R50" s="36"/>
    </row>
    <row r="51" spans="1:18">
      <c r="A51" s="24">
        <v>207</v>
      </c>
      <c r="B51" s="15">
        <v>13901</v>
      </c>
      <c r="C51" s="16" t="s">
        <v>49</v>
      </c>
      <c r="D51" s="17">
        <v>44932</v>
      </c>
      <c r="E51" s="17">
        <v>44938</v>
      </c>
      <c r="F51" s="17">
        <v>44949</v>
      </c>
      <c r="G51" s="16"/>
      <c r="H51" s="16"/>
      <c r="I51" s="18">
        <f t="shared" si="0"/>
        <v>1</v>
      </c>
      <c r="J51" s="33">
        <f>DATEDIF(Table6[[#This Row],[Discharge Date 1]],Table6[[#This Row],[Post-Discharge Visit Date]],"d")</f>
        <v>11</v>
      </c>
      <c r="R51" s="36"/>
    </row>
    <row r="52" spans="1:18">
      <c r="A52" s="23">
        <v>218</v>
      </c>
      <c r="B52" s="11">
        <v>14150</v>
      </c>
      <c r="C52" s="12" t="s">
        <v>49</v>
      </c>
      <c r="D52" s="13">
        <v>45005</v>
      </c>
      <c r="E52" s="13">
        <v>45008</v>
      </c>
      <c r="F52" s="13">
        <v>45011</v>
      </c>
      <c r="G52" s="12"/>
      <c r="H52" s="12"/>
      <c r="I52" s="14">
        <f t="shared" si="0"/>
        <v>1</v>
      </c>
      <c r="J52" s="33">
        <f>DATEDIF(Table6[[#This Row],[Discharge Date 1]],Table6[[#This Row],[Post-Discharge Visit Date]],"d")</f>
        <v>3</v>
      </c>
      <c r="R52" s="36"/>
    </row>
    <row r="53" spans="1:18">
      <c r="A53" s="24">
        <v>222</v>
      </c>
      <c r="B53" s="15">
        <v>23485</v>
      </c>
      <c r="C53" s="16" t="s">
        <v>49</v>
      </c>
      <c r="D53" s="17">
        <v>45071</v>
      </c>
      <c r="E53" s="17">
        <v>45074</v>
      </c>
      <c r="F53" s="17">
        <v>45085</v>
      </c>
      <c r="G53" s="16"/>
      <c r="H53" s="16"/>
      <c r="I53" s="18">
        <f t="shared" si="0"/>
        <v>1</v>
      </c>
      <c r="J53" s="33">
        <f>DATEDIF(Table6[[#This Row],[Discharge Date 1]],Table6[[#This Row],[Post-Discharge Visit Date]],"d")</f>
        <v>11</v>
      </c>
      <c r="R53" s="36"/>
    </row>
    <row r="54" spans="1:18">
      <c r="A54" s="23">
        <v>224</v>
      </c>
      <c r="B54" s="11">
        <v>26280</v>
      </c>
      <c r="C54" s="12" t="s">
        <v>49</v>
      </c>
      <c r="D54" s="13">
        <v>45006</v>
      </c>
      <c r="E54" s="13">
        <v>45009</v>
      </c>
      <c r="F54" s="13">
        <v>45016</v>
      </c>
      <c r="G54" s="12"/>
      <c r="H54" s="12"/>
      <c r="I54" s="14">
        <f t="shared" si="0"/>
        <v>1</v>
      </c>
      <c r="J54" s="33">
        <f>DATEDIF(Table6[[#This Row],[Discharge Date 1]],Table6[[#This Row],[Post-Discharge Visit Date]],"d")</f>
        <v>7</v>
      </c>
      <c r="R54" s="36"/>
    </row>
    <row r="55" spans="1:18">
      <c r="A55" s="24">
        <v>225</v>
      </c>
      <c r="B55" s="15">
        <v>14689</v>
      </c>
      <c r="C55" s="16" t="s">
        <v>49</v>
      </c>
      <c r="D55" s="17">
        <v>45056</v>
      </c>
      <c r="E55" s="17">
        <v>45057</v>
      </c>
      <c r="F55" s="17">
        <v>45061</v>
      </c>
      <c r="G55" s="16"/>
      <c r="H55" s="16"/>
      <c r="I55" s="18">
        <f t="shared" si="0"/>
        <v>1</v>
      </c>
      <c r="J55" s="33">
        <f>DATEDIF(Table6[[#This Row],[Discharge Date 1]],Table6[[#This Row],[Post-Discharge Visit Date]],"d")</f>
        <v>4</v>
      </c>
      <c r="R55" s="36"/>
    </row>
    <row r="56" spans="1:18">
      <c r="A56" s="23">
        <v>246</v>
      </c>
      <c r="B56" s="11">
        <v>24521</v>
      </c>
      <c r="C56" s="12" t="s">
        <v>49</v>
      </c>
      <c r="D56" s="13">
        <v>45038</v>
      </c>
      <c r="E56" s="13">
        <v>45043</v>
      </c>
      <c r="F56" s="13">
        <v>45051</v>
      </c>
      <c r="G56" s="12"/>
      <c r="H56" s="12"/>
      <c r="I56" s="14">
        <f t="shared" si="0"/>
        <v>1</v>
      </c>
      <c r="J56" s="33">
        <f>DATEDIF(Table6[[#This Row],[Discharge Date 1]],Table6[[#This Row],[Post-Discharge Visit Date]],"d")</f>
        <v>8</v>
      </c>
      <c r="R56" s="36"/>
    </row>
    <row r="57" spans="1:18">
      <c r="A57" s="24">
        <v>252</v>
      </c>
      <c r="B57" s="15">
        <v>21166</v>
      </c>
      <c r="C57" s="16" t="s">
        <v>49</v>
      </c>
      <c r="D57" s="17">
        <v>45040</v>
      </c>
      <c r="E57" s="17">
        <v>45044</v>
      </c>
      <c r="F57" s="17">
        <v>45048</v>
      </c>
      <c r="G57" s="16"/>
      <c r="H57" s="16"/>
      <c r="I57" s="18">
        <f t="shared" si="0"/>
        <v>1</v>
      </c>
      <c r="J57" s="33">
        <f>DATEDIF(Table6[[#This Row],[Discharge Date 1]],Table6[[#This Row],[Post-Discharge Visit Date]],"d")</f>
        <v>4</v>
      </c>
      <c r="R57" s="36"/>
    </row>
    <row r="58" spans="1:18">
      <c r="A58" s="23">
        <v>263</v>
      </c>
      <c r="B58" s="11">
        <v>29157</v>
      </c>
      <c r="C58" s="12" t="s">
        <v>49</v>
      </c>
      <c r="D58" s="13">
        <v>45006</v>
      </c>
      <c r="E58" s="13">
        <v>45009</v>
      </c>
      <c r="F58" s="13">
        <v>45014</v>
      </c>
      <c r="G58" s="13">
        <v>45029</v>
      </c>
      <c r="H58" s="13">
        <v>45032</v>
      </c>
      <c r="I58" s="14">
        <f t="shared" si="0"/>
        <v>1</v>
      </c>
      <c r="J58" s="33">
        <f>DATEDIF(Table6[[#This Row],[Discharge Date 1]],Table6[[#This Row],[Post-Discharge Visit Date]],"d")</f>
        <v>5</v>
      </c>
      <c r="R58" s="36"/>
    </row>
    <row r="59" spans="1:18">
      <c r="A59" s="24">
        <v>271</v>
      </c>
      <c r="B59" s="15">
        <v>21970</v>
      </c>
      <c r="C59" s="16" t="s">
        <v>49</v>
      </c>
      <c r="D59" s="17">
        <v>45006</v>
      </c>
      <c r="E59" s="17">
        <v>45009</v>
      </c>
      <c r="F59" s="17">
        <v>45011</v>
      </c>
      <c r="G59" s="17">
        <v>45028</v>
      </c>
      <c r="H59" s="17">
        <v>45033</v>
      </c>
      <c r="I59" s="18">
        <f t="shared" si="0"/>
        <v>1</v>
      </c>
      <c r="J59" s="33">
        <f>DATEDIF(Table6[[#This Row],[Discharge Date 1]],Table6[[#This Row],[Post-Discharge Visit Date]],"d")</f>
        <v>2</v>
      </c>
      <c r="R59" s="36"/>
    </row>
    <row r="60" spans="1:18">
      <c r="A60" s="23">
        <v>276</v>
      </c>
      <c r="B60" s="11">
        <v>16148</v>
      </c>
      <c r="C60" s="12" t="s">
        <v>49</v>
      </c>
      <c r="D60" s="13">
        <v>44998</v>
      </c>
      <c r="E60" s="13">
        <v>45001</v>
      </c>
      <c r="F60" s="13">
        <v>45013</v>
      </c>
      <c r="G60" s="12"/>
      <c r="H60" s="12"/>
      <c r="I60" s="14">
        <f t="shared" si="0"/>
        <v>1</v>
      </c>
      <c r="J60" s="33">
        <f>DATEDIF(Table6[[#This Row],[Discharge Date 1]],Table6[[#This Row],[Post-Discharge Visit Date]],"d")</f>
        <v>12</v>
      </c>
      <c r="R60" s="36"/>
    </row>
    <row r="61" spans="1:18">
      <c r="A61" s="24">
        <v>279</v>
      </c>
      <c r="B61" s="15">
        <v>26479</v>
      </c>
      <c r="C61" s="16" t="s">
        <v>49</v>
      </c>
      <c r="D61" s="17">
        <v>45036</v>
      </c>
      <c r="E61" s="17">
        <v>45036</v>
      </c>
      <c r="F61" s="17">
        <v>45052</v>
      </c>
      <c r="G61" s="16"/>
      <c r="H61" s="16"/>
      <c r="I61" s="18">
        <f t="shared" si="0"/>
        <v>1</v>
      </c>
      <c r="J61" s="33">
        <f>DATEDIF(Table6[[#This Row],[Discharge Date 1]],Table6[[#This Row],[Post-Discharge Visit Date]],"d")</f>
        <v>16</v>
      </c>
      <c r="R61" s="36"/>
    </row>
    <row r="62" spans="1:18">
      <c r="A62" s="23">
        <v>281</v>
      </c>
      <c r="B62" s="11">
        <v>21405</v>
      </c>
      <c r="C62" s="12" t="s">
        <v>49</v>
      </c>
      <c r="D62" s="13">
        <v>44953</v>
      </c>
      <c r="E62" s="13">
        <v>44956</v>
      </c>
      <c r="F62" s="13">
        <v>44963</v>
      </c>
      <c r="G62" s="13">
        <v>44973</v>
      </c>
      <c r="H62" s="13">
        <v>44980</v>
      </c>
      <c r="I62" s="14">
        <f t="shared" si="0"/>
        <v>1</v>
      </c>
      <c r="J62" s="33">
        <f>DATEDIF(Table6[[#This Row],[Discharge Date 1]],Table6[[#This Row],[Post-Discharge Visit Date]],"d")</f>
        <v>7</v>
      </c>
      <c r="R62" s="36"/>
    </row>
    <row r="63" spans="1:18">
      <c r="A63" s="24">
        <v>286</v>
      </c>
      <c r="B63" s="15">
        <v>22685</v>
      </c>
      <c r="C63" s="16" t="s">
        <v>49</v>
      </c>
      <c r="D63" s="17">
        <v>44955</v>
      </c>
      <c r="E63" s="17">
        <v>44958</v>
      </c>
      <c r="F63" s="17">
        <v>44958</v>
      </c>
      <c r="G63" s="17">
        <v>44974</v>
      </c>
      <c r="H63" s="17">
        <v>44976</v>
      </c>
      <c r="I63" s="18">
        <f t="shared" si="0"/>
        <v>1</v>
      </c>
      <c r="J63" s="33">
        <f>DATEDIF(Table6[[#This Row],[Discharge Date 1]],Table6[[#This Row],[Post-Discharge Visit Date]],"d")</f>
        <v>0</v>
      </c>
      <c r="R63" s="36"/>
    </row>
    <row r="64" spans="1:18">
      <c r="A64" s="23">
        <v>294</v>
      </c>
      <c r="B64" s="11">
        <v>14543</v>
      </c>
      <c r="C64" s="12" t="s">
        <v>49</v>
      </c>
      <c r="D64" s="13">
        <v>45019</v>
      </c>
      <c r="E64" s="13">
        <v>45019</v>
      </c>
      <c r="F64" s="13">
        <v>45039</v>
      </c>
      <c r="G64" s="13">
        <v>45043</v>
      </c>
      <c r="H64" s="13">
        <v>45047</v>
      </c>
      <c r="I64" s="14">
        <f t="shared" si="0"/>
        <v>1</v>
      </c>
      <c r="J64" s="33">
        <f>DATEDIF(Table6[[#This Row],[Discharge Date 1]],Table6[[#This Row],[Post-Discharge Visit Date]],"d")</f>
        <v>20</v>
      </c>
      <c r="R64" s="36"/>
    </row>
    <row r="65" spans="1:18">
      <c r="A65" s="24">
        <v>300</v>
      </c>
      <c r="B65" s="15">
        <v>22196</v>
      </c>
      <c r="C65" s="16" t="s">
        <v>49</v>
      </c>
      <c r="D65" s="17">
        <v>45005</v>
      </c>
      <c r="E65" s="17">
        <v>45008</v>
      </c>
      <c r="F65" s="17">
        <v>45021</v>
      </c>
      <c r="G65" s="16"/>
      <c r="H65" s="16"/>
      <c r="I65" s="18">
        <f t="shared" si="0"/>
        <v>1</v>
      </c>
      <c r="J65" s="33">
        <f>DATEDIF(Table6[[#This Row],[Discharge Date 1]],Table6[[#This Row],[Post-Discharge Visit Date]],"d")</f>
        <v>13</v>
      </c>
      <c r="R65" s="36"/>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7F442-936A-47BB-A39C-8C8880349A45}">
  <dimension ref="A1:S42"/>
  <sheetViews>
    <sheetView topLeftCell="J1" workbookViewId="0">
      <selection activeCell="S1" sqref="S1"/>
    </sheetView>
  </sheetViews>
  <sheetFormatPr baseColWidth="10" defaultColWidth="8.83203125" defaultRowHeight="13"/>
  <cols>
    <col min="1" max="1" width="9.5" bestFit="1" customWidth="1"/>
    <col min="2" max="2" width="14.1640625" customWidth="1"/>
    <col min="3" max="3" width="15" customWidth="1"/>
    <col min="4" max="4" width="17.5" bestFit="1" customWidth="1"/>
    <col min="5" max="5" width="16.5" bestFit="1" customWidth="1"/>
    <col min="6" max="6" width="17.33203125" bestFit="1" customWidth="1"/>
    <col min="7" max="7" width="19.1640625" bestFit="1" customWidth="1"/>
    <col min="8" max="8" width="17.5" bestFit="1" customWidth="1"/>
    <col min="9" max="9" width="16.1640625" bestFit="1" customWidth="1"/>
    <col min="10" max="10" width="18" bestFit="1" customWidth="1"/>
    <col min="11" max="11" width="16.6640625" bestFit="1" customWidth="1"/>
    <col min="12" max="12" width="13.6640625" bestFit="1" customWidth="1"/>
    <col min="13" max="13" width="30.5" bestFit="1" customWidth="1"/>
    <col min="14" max="14" width="36.5" bestFit="1" customWidth="1"/>
    <col min="15" max="15" width="23.83203125" bestFit="1" customWidth="1"/>
    <col min="16" max="16" width="28.5" bestFit="1" customWidth="1"/>
    <col min="17" max="17" width="33.5" bestFit="1" customWidth="1"/>
    <col min="18" max="18" width="36.5" bestFit="1" customWidth="1"/>
    <col min="19" max="19" width="16.5" customWidth="1"/>
  </cols>
  <sheetData>
    <row r="1" spans="1:19" ht="42">
      <c r="A1" s="22" t="s">
        <v>22</v>
      </c>
      <c r="B1" s="19" t="s">
        <v>23</v>
      </c>
      <c r="C1" s="19" t="s">
        <v>24</v>
      </c>
      <c r="D1" s="19" t="s">
        <v>25</v>
      </c>
      <c r="E1" s="19" t="s">
        <v>26</v>
      </c>
      <c r="F1" s="19" t="s">
        <v>27</v>
      </c>
      <c r="G1" s="19" t="s">
        <v>28</v>
      </c>
      <c r="H1" s="19" t="s">
        <v>29</v>
      </c>
      <c r="I1" s="27" t="s">
        <v>30</v>
      </c>
      <c r="J1" s="19" t="s">
        <v>59</v>
      </c>
      <c r="K1" s="20" t="s">
        <v>35</v>
      </c>
      <c r="L1" s="20" t="s">
        <v>68</v>
      </c>
      <c r="M1" t="s">
        <v>37</v>
      </c>
      <c r="N1" s="20" t="s">
        <v>69</v>
      </c>
      <c r="O1" t="s">
        <v>39</v>
      </c>
      <c r="P1" t="s">
        <v>40</v>
      </c>
      <c r="Q1" t="s">
        <v>55</v>
      </c>
      <c r="R1" t="s">
        <v>70</v>
      </c>
      <c r="S1" s="20" t="s">
        <v>71</v>
      </c>
    </row>
    <row r="2" spans="1:19">
      <c r="A2" s="23">
        <v>1</v>
      </c>
      <c r="B2" s="11">
        <v>24445</v>
      </c>
      <c r="C2" s="12" t="s">
        <v>31</v>
      </c>
      <c r="D2" s="13">
        <v>45032</v>
      </c>
      <c r="E2" s="13">
        <v>45037</v>
      </c>
      <c r="F2" s="12"/>
      <c r="G2" s="13">
        <v>45052</v>
      </c>
      <c r="H2" s="13">
        <v>45056</v>
      </c>
      <c r="I2" s="28">
        <f>IF(ISBLANK(F2),0,1)</f>
        <v>0</v>
      </c>
      <c r="J2" s="11" t="s">
        <v>58</v>
      </c>
      <c r="K2">
        <f>COUNT(B2:B42)</f>
        <v>41</v>
      </c>
      <c r="L2">
        <f>SUM(I2:I42)</f>
        <v>30</v>
      </c>
      <c r="M2" s="21">
        <f>L2/K2</f>
        <v>0.73170731707317072</v>
      </c>
      <c r="N2" s="35">
        <f>AVERAGE(Table7[[Days Between Initial Discharge and PDV ]])</f>
        <v>11.933333333333334</v>
      </c>
      <c r="O2">
        <f>COUNTA(Table7[Readmission Date])</f>
        <v>10</v>
      </c>
      <c r="P2" s="36">
        <f>Table7[[#This Row],[Count of Readmissions]]/Table7[[#This Row],[Count of Admissions ]]</f>
        <v>0.24390243902439024</v>
      </c>
      <c r="Q2" s="35">
        <f>COUNTIFS(G2:G42, "&gt;" &amp; 0, I2:I42, 1)</f>
        <v>3</v>
      </c>
      <c r="R2" s="36">
        <f>Table7[[#This Row],[Count of Readmissions with PDV ]]/Table7[[#This Row],[Count of Readmissions]]</f>
        <v>0.3</v>
      </c>
      <c r="S2" s="36">
        <f>7/Table7[[#This Row],[Count of Readmissions]]</f>
        <v>0.7</v>
      </c>
    </row>
    <row r="3" spans="1:19">
      <c r="A3" s="24">
        <v>2</v>
      </c>
      <c r="B3" s="15">
        <v>28166</v>
      </c>
      <c r="C3" s="16" t="s">
        <v>31</v>
      </c>
      <c r="D3" s="17">
        <v>44971</v>
      </c>
      <c r="E3" s="17">
        <v>44972</v>
      </c>
      <c r="F3" s="17">
        <v>44981</v>
      </c>
      <c r="G3" s="16"/>
      <c r="H3" s="16"/>
      <c r="I3" s="18">
        <f t="shared" ref="I3:I42" si="0">IF(ISBLANK(F3),0,1)</f>
        <v>1</v>
      </c>
      <c r="J3" s="16">
        <f>DATEDIF(Table7[[#This Row],[Discharge Date 1]],Table7[[#This Row],[Post-Discharge Visit Date]],"d")</f>
        <v>9</v>
      </c>
      <c r="Q3" s="36"/>
      <c r="R3" s="20"/>
    </row>
    <row r="4" spans="1:19">
      <c r="A4" s="23">
        <v>5</v>
      </c>
      <c r="B4" s="11">
        <v>13091</v>
      </c>
      <c r="C4" s="12" t="s">
        <v>31</v>
      </c>
      <c r="D4" s="13">
        <v>44997</v>
      </c>
      <c r="E4" s="13">
        <v>45003</v>
      </c>
      <c r="F4" s="13">
        <v>45019</v>
      </c>
      <c r="G4" s="12"/>
      <c r="H4" s="12"/>
      <c r="I4" s="14">
        <f t="shared" si="0"/>
        <v>1</v>
      </c>
      <c r="J4" s="12">
        <f>DATEDIF(Table7[[#This Row],[Discharge Date 1]],Table7[[#This Row],[Post-Discharge Visit Date]],"d")</f>
        <v>16</v>
      </c>
      <c r="Q4" s="36"/>
    </row>
    <row r="5" spans="1:19">
      <c r="A5" s="24">
        <v>6</v>
      </c>
      <c r="B5" s="15">
        <v>13422</v>
      </c>
      <c r="C5" s="16" t="s">
        <v>31</v>
      </c>
      <c r="D5" s="17">
        <v>44995</v>
      </c>
      <c r="E5" s="17">
        <v>45001</v>
      </c>
      <c r="F5" s="17">
        <v>45015</v>
      </c>
      <c r="G5" s="16"/>
      <c r="H5" s="16"/>
      <c r="I5" s="18">
        <f t="shared" si="0"/>
        <v>1</v>
      </c>
      <c r="J5" s="16">
        <f>DATEDIF(Table7[[#This Row],[Discharge Date 1]],Table7[[#This Row],[Post-Discharge Visit Date]],"d")</f>
        <v>14</v>
      </c>
      <c r="Q5" s="36"/>
    </row>
    <row r="6" spans="1:19">
      <c r="A6" s="23">
        <v>102</v>
      </c>
      <c r="B6" s="11">
        <v>28214</v>
      </c>
      <c r="C6" s="12" t="s">
        <v>31</v>
      </c>
      <c r="D6" s="13">
        <v>45005</v>
      </c>
      <c r="E6" s="13">
        <v>45010</v>
      </c>
      <c r="F6" s="13">
        <v>45032</v>
      </c>
      <c r="G6" s="12"/>
      <c r="H6" s="12"/>
      <c r="I6" s="14">
        <f t="shared" si="0"/>
        <v>1</v>
      </c>
      <c r="J6" s="12">
        <f>DATEDIF(Table7[[#This Row],[Discharge Date 1]],Table7[[#This Row],[Post-Discharge Visit Date]],"d")</f>
        <v>22</v>
      </c>
      <c r="Q6" s="36"/>
    </row>
    <row r="7" spans="1:19">
      <c r="A7" s="24">
        <v>104</v>
      </c>
      <c r="B7" s="15">
        <v>22338</v>
      </c>
      <c r="C7" s="16" t="s">
        <v>31</v>
      </c>
      <c r="D7" s="17">
        <v>45030</v>
      </c>
      <c r="E7" s="17">
        <v>45031</v>
      </c>
      <c r="F7" s="16"/>
      <c r="G7" s="16"/>
      <c r="H7" s="16"/>
      <c r="I7" s="18">
        <f t="shared" si="0"/>
        <v>0</v>
      </c>
      <c r="J7" s="16" t="s">
        <v>58</v>
      </c>
      <c r="Q7" s="36"/>
    </row>
    <row r="8" spans="1:19">
      <c r="A8" s="23">
        <v>109</v>
      </c>
      <c r="B8" s="11">
        <v>14066</v>
      </c>
      <c r="C8" s="12" t="s">
        <v>31</v>
      </c>
      <c r="D8" s="13">
        <v>45041</v>
      </c>
      <c r="E8" s="13">
        <v>45044</v>
      </c>
      <c r="F8" s="13">
        <v>45064</v>
      </c>
      <c r="G8" s="12"/>
      <c r="H8" s="12"/>
      <c r="I8" s="14">
        <f t="shared" si="0"/>
        <v>1</v>
      </c>
      <c r="J8" s="12">
        <f>DATEDIF(Table7[[#This Row],[Discharge Date 1]],Table7[[#This Row],[Post-Discharge Visit Date]],"d")</f>
        <v>20</v>
      </c>
      <c r="Q8" s="36"/>
    </row>
    <row r="9" spans="1:19">
      <c r="A9" s="24">
        <v>116</v>
      </c>
      <c r="B9" s="15">
        <v>18163</v>
      </c>
      <c r="C9" s="16" t="s">
        <v>31</v>
      </c>
      <c r="D9" s="17">
        <v>44954</v>
      </c>
      <c r="E9" s="17">
        <v>44957</v>
      </c>
      <c r="F9" s="16"/>
      <c r="G9" s="16"/>
      <c r="H9" s="16"/>
      <c r="I9" s="18">
        <f t="shared" si="0"/>
        <v>0</v>
      </c>
      <c r="J9" s="16" t="s">
        <v>58</v>
      </c>
      <c r="Q9" s="36"/>
    </row>
    <row r="10" spans="1:19">
      <c r="A10" s="23">
        <v>123</v>
      </c>
      <c r="B10" s="11">
        <v>29858</v>
      </c>
      <c r="C10" s="12" t="s">
        <v>31</v>
      </c>
      <c r="D10" s="13">
        <v>45066</v>
      </c>
      <c r="E10" s="13">
        <v>45066</v>
      </c>
      <c r="F10" s="13">
        <v>45088</v>
      </c>
      <c r="G10" s="12"/>
      <c r="H10" s="12"/>
      <c r="I10" s="14">
        <f t="shared" si="0"/>
        <v>1</v>
      </c>
      <c r="J10" s="12">
        <f>DATEDIF(Table7[[#This Row],[Discharge Date 1]],Table7[[#This Row],[Post-Discharge Visit Date]],"d")</f>
        <v>22</v>
      </c>
      <c r="Q10" s="36"/>
    </row>
    <row r="11" spans="1:19">
      <c r="A11" s="24">
        <v>124</v>
      </c>
      <c r="B11" s="15">
        <v>16676</v>
      </c>
      <c r="C11" s="16" t="s">
        <v>31</v>
      </c>
      <c r="D11" s="17">
        <v>44939</v>
      </c>
      <c r="E11" s="17">
        <v>44939</v>
      </c>
      <c r="F11" s="17">
        <v>44952</v>
      </c>
      <c r="G11" s="16"/>
      <c r="H11" s="16"/>
      <c r="I11" s="18">
        <f t="shared" si="0"/>
        <v>1</v>
      </c>
      <c r="J11" s="16">
        <f>DATEDIF(Table7[[#This Row],[Discharge Date 1]],Table7[[#This Row],[Post-Discharge Visit Date]],"d")</f>
        <v>13</v>
      </c>
      <c r="Q11" s="36"/>
    </row>
    <row r="12" spans="1:19">
      <c r="A12" s="23">
        <v>145</v>
      </c>
      <c r="B12" s="11">
        <v>24899</v>
      </c>
      <c r="C12" s="12" t="s">
        <v>31</v>
      </c>
      <c r="D12" s="13">
        <v>45057</v>
      </c>
      <c r="E12" s="13">
        <v>45063</v>
      </c>
      <c r="F12" s="13">
        <v>45068</v>
      </c>
      <c r="G12" s="12"/>
      <c r="H12" s="12"/>
      <c r="I12" s="14">
        <f t="shared" si="0"/>
        <v>1</v>
      </c>
      <c r="J12" s="12">
        <f>DATEDIF(Table7[[#This Row],[Discharge Date 1]],Table7[[#This Row],[Post-Discharge Visit Date]],"d")</f>
        <v>5</v>
      </c>
      <c r="Q12" s="36"/>
    </row>
    <row r="13" spans="1:19">
      <c r="A13" s="24">
        <v>147</v>
      </c>
      <c r="B13" s="15">
        <v>25659</v>
      </c>
      <c r="C13" s="16" t="s">
        <v>31</v>
      </c>
      <c r="D13" s="17">
        <v>44932</v>
      </c>
      <c r="E13" s="17">
        <v>44932</v>
      </c>
      <c r="F13" s="16"/>
      <c r="G13" s="17">
        <v>44961</v>
      </c>
      <c r="H13" s="17">
        <v>44963</v>
      </c>
      <c r="I13" s="18">
        <f t="shared" si="0"/>
        <v>0</v>
      </c>
      <c r="J13" s="15" t="s">
        <v>58</v>
      </c>
      <c r="Q13" s="36"/>
    </row>
    <row r="14" spans="1:19">
      <c r="A14" s="23">
        <v>152</v>
      </c>
      <c r="B14" s="11">
        <v>20640</v>
      </c>
      <c r="C14" s="12" t="s">
        <v>31</v>
      </c>
      <c r="D14" s="13">
        <v>44947</v>
      </c>
      <c r="E14" s="13">
        <v>44948</v>
      </c>
      <c r="F14" s="13">
        <v>44968</v>
      </c>
      <c r="G14" s="13">
        <v>44975</v>
      </c>
      <c r="H14" s="13">
        <v>44978</v>
      </c>
      <c r="I14" s="14">
        <f t="shared" si="0"/>
        <v>1</v>
      </c>
      <c r="J14" s="11">
        <f>DATEDIF(Table7[[#This Row],[Discharge Date 1]],Table7[[#This Row],[Post-Discharge Visit Date]],"d")</f>
        <v>20</v>
      </c>
      <c r="Q14" s="36"/>
    </row>
    <row r="15" spans="1:19">
      <c r="A15" s="24">
        <v>161</v>
      </c>
      <c r="B15" s="15">
        <v>16482</v>
      </c>
      <c r="C15" s="16" t="s">
        <v>31</v>
      </c>
      <c r="D15" s="17">
        <v>44927</v>
      </c>
      <c r="E15" s="17">
        <v>44929</v>
      </c>
      <c r="F15" s="17">
        <v>44950</v>
      </c>
      <c r="G15" s="16"/>
      <c r="H15" s="16"/>
      <c r="I15" s="18">
        <f t="shared" si="0"/>
        <v>1</v>
      </c>
      <c r="J15" s="16">
        <f>DATEDIF(Table7[[#This Row],[Discharge Date 1]],Table7[[#This Row],[Post-Discharge Visit Date]],"d")</f>
        <v>21</v>
      </c>
      <c r="Q15" s="36"/>
    </row>
    <row r="16" spans="1:19">
      <c r="A16" s="23">
        <v>166</v>
      </c>
      <c r="B16" s="11">
        <v>21102</v>
      </c>
      <c r="C16" s="12" t="s">
        <v>31</v>
      </c>
      <c r="D16" s="13">
        <v>44930</v>
      </c>
      <c r="E16" s="13">
        <v>44930</v>
      </c>
      <c r="F16" s="13">
        <v>44951</v>
      </c>
      <c r="G16" s="12"/>
      <c r="H16" s="12"/>
      <c r="I16" s="14">
        <f t="shared" si="0"/>
        <v>1</v>
      </c>
      <c r="J16" s="12">
        <f>DATEDIF(Table7[[#This Row],[Discharge Date 1]],Table7[[#This Row],[Post-Discharge Visit Date]],"d")</f>
        <v>21</v>
      </c>
      <c r="Q16" s="36"/>
    </row>
    <row r="17" spans="1:17">
      <c r="A17" s="24">
        <v>167</v>
      </c>
      <c r="B17" s="15">
        <v>28516</v>
      </c>
      <c r="C17" s="16" t="s">
        <v>31</v>
      </c>
      <c r="D17" s="17">
        <v>45063</v>
      </c>
      <c r="E17" s="17">
        <v>45066</v>
      </c>
      <c r="F17" s="17">
        <v>45080</v>
      </c>
      <c r="G17" s="16"/>
      <c r="H17" s="16"/>
      <c r="I17" s="18">
        <f t="shared" si="0"/>
        <v>1</v>
      </c>
      <c r="J17" s="16">
        <f>DATEDIF(Table7[[#This Row],[Discharge Date 1]],Table7[[#This Row],[Post-Discharge Visit Date]],"d")</f>
        <v>14</v>
      </c>
      <c r="Q17" s="36"/>
    </row>
    <row r="18" spans="1:17">
      <c r="A18" s="23">
        <v>171</v>
      </c>
      <c r="B18" s="11">
        <v>23283</v>
      </c>
      <c r="C18" s="12" t="s">
        <v>31</v>
      </c>
      <c r="D18" s="13">
        <v>45029</v>
      </c>
      <c r="E18" s="13">
        <v>45034</v>
      </c>
      <c r="F18" s="13">
        <v>45044</v>
      </c>
      <c r="G18" s="12"/>
      <c r="H18" s="12"/>
      <c r="I18" s="14">
        <f t="shared" si="0"/>
        <v>1</v>
      </c>
      <c r="J18" s="12">
        <f>DATEDIF(Table7[[#This Row],[Discharge Date 1]],Table7[[#This Row],[Post-Discharge Visit Date]],"d")</f>
        <v>10</v>
      </c>
      <c r="Q18" s="36"/>
    </row>
    <row r="19" spans="1:17">
      <c r="A19" s="24">
        <v>175</v>
      </c>
      <c r="B19" s="15">
        <v>26054</v>
      </c>
      <c r="C19" s="16" t="s">
        <v>31</v>
      </c>
      <c r="D19" s="17">
        <v>45066</v>
      </c>
      <c r="E19" s="17">
        <v>45066</v>
      </c>
      <c r="F19" s="16"/>
      <c r="G19" s="16"/>
      <c r="H19" s="16"/>
      <c r="I19" s="18">
        <f t="shared" si="0"/>
        <v>0</v>
      </c>
      <c r="J19" s="16" t="s">
        <v>58</v>
      </c>
      <c r="Q19" s="36"/>
    </row>
    <row r="20" spans="1:17">
      <c r="A20" s="23">
        <v>182</v>
      </c>
      <c r="B20" s="11">
        <v>14078</v>
      </c>
      <c r="C20" s="12" t="s">
        <v>31</v>
      </c>
      <c r="D20" s="13">
        <v>44999</v>
      </c>
      <c r="E20" s="13">
        <v>45001</v>
      </c>
      <c r="F20" s="13">
        <v>45012</v>
      </c>
      <c r="G20" s="12"/>
      <c r="H20" s="12"/>
      <c r="I20" s="14">
        <f t="shared" si="0"/>
        <v>1</v>
      </c>
      <c r="J20" s="12">
        <f>DATEDIF(Table7[[#This Row],[Discharge Date 1]],Table7[[#This Row],[Post-Discharge Visit Date]],"d")</f>
        <v>11</v>
      </c>
      <c r="Q20" s="36"/>
    </row>
    <row r="21" spans="1:17">
      <c r="A21" s="24">
        <v>192</v>
      </c>
      <c r="B21" s="15">
        <v>16152</v>
      </c>
      <c r="C21" s="16" t="s">
        <v>31</v>
      </c>
      <c r="D21" s="17">
        <v>44992</v>
      </c>
      <c r="E21" s="17">
        <v>44995</v>
      </c>
      <c r="F21" s="17">
        <v>45002</v>
      </c>
      <c r="G21" s="16"/>
      <c r="H21" s="16"/>
      <c r="I21" s="18">
        <f t="shared" si="0"/>
        <v>1</v>
      </c>
      <c r="J21" s="16">
        <f>DATEDIF(Table7[[#This Row],[Discharge Date 1]],Table7[[#This Row],[Post-Discharge Visit Date]],"d")</f>
        <v>7</v>
      </c>
      <c r="Q21" s="36"/>
    </row>
    <row r="22" spans="1:17">
      <c r="A22" s="23">
        <v>195</v>
      </c>
      <c r="B22" s="11">
        <v>13058</v>
      </c>
      <c r="C22" s="12" t="s">
        <v>31</v>
      </c>
      <c r="D22" s="13">
        <v>45036</v>
      </c>
      <c r="E22" s="13">
        <v>45041</v>
      </c>
      <c r="F22" s="13">
        <v>45048</v>
      </c>
      <c r="G22" s="12"/>
      <c r="H22" s="12"/>
      <c r="I22" s="14">
        <f t="shared" si="0"/>
        <v>1</v>
      </c>
      <c r="J22" s="12">
        <f>DATEDIF(Table7[[#This Row],[Discharge Date 1]],Table7[[#This Row],[Post-Discharge Visit Date]],"d")</f>
        <v>7</v>
      </c>
      <c r="Q22" s="36"/>
    </row>
    <row r="23" spans="1:17">
      <c r="A23" s="24">
        <v>203</v>
      </c>
      <c r="B23" s="15">
        <v>23659</v>
      </c>
      <c r="C23" s="16" t="s">
        <v>31</v>
      </c>
      <c r="D23" s="17">
        <v>44947</v>
      </c>
      <c r="E23" s="17">
        <v>44951</v>
      </c>
      <c r="F23" s="17">
        <v>44958</v>
      </c>
      <c r="G23" s="16"/>
      <c r="H23" s="16"/>
      <c r="I23" s="18">
        <f t="shared" si="0"/>
        <v>1</v>
      </c>
      <c r="J23" s="16">
        <f>DATEDIF(Table7[[#This Row],[Discharge Date 1]],Table7[[#This Row],[Post-Discharge Visit Date]],"d")</f>
        <v>7</v>
      </c>
      <c r="Q23" s="36"/>
    </row>
    <row r="24" spans="1:17">
      <c r="A24" s="23">
        <v>205</v>
      </c>
      <c r="B24" s="11">
        <v>10886</v>
      </c>
      <c r="C24" s="12" t="s">
        <v>31</v>
      </c>
      <c r="D24" s="13">
        <v>44962</v>
      </c>
      <c r="E24" s="13">
        <v>44964</v>
      </c>
      <c r="F24" s="13">
        <v>44990</v>
      </c>
      <c r="G24" s="12"/>
      <c r="H24" s="12"/>
      <c r="I24" s="14">
        <f t="shared" si="0"/>
        <v>1</v>
      </c>
      <c r="J24" s="12">
        <f>DATEDIF(Table7[[#This Row],[Discharge Date 1]],Table7[[#This Row],[Post-Discharge Visit Date]],"d")</f>
        <v>26</v>
      </c>
      <c r="Q24" s="36"/>
    </row>
    <row r="25" spans="1:17">
      <c r="A25" s="24">
        <v>212</v>
      </c>
      <c r="B25" s="15">
        <v>21495</v>
      </c>
      <c r="C25" s="16" t="s">
        <v>31</v>
      </c>
      <c r="D25" s="17">
        <v>44979</v>
      </c>
      <c r="E25" s="17">
        <v>44984</v>
      </c>
      <c r="F25" s="16"/>
      <c r="G25" s="16"/>
      <c r="H25" s="16"/>
      <c r="I25" s="18">
        <f t="shared" si="0"/>
        <v>0</v>
      </c>
      <c r="J25" s="16" t="s">
        <v>58</v>
      </c>
      <c r="Q25" s="36"/>
    </row>
    <row r="26" spans="1:17">
      <c r="A26" s="23">
        <v>223</v>
      </c>
      <c r="B26" s="11">
        <v>17987</v>
      </c>
      <c r="C26" s="12" t="s">
        <v>31</v>
      </c>
      <c r="D26" s="13">
        <v>45030</v>
      </c>
      <c r="E26" s="13">
        <v>45034</v>
      </c>
      <c r="F26" s="13">
        <v>45043</v>
      </c>
      <c r="G26" s="12"/>
      <c r="H26" s="12"/>
      <c r="I26" s="14">
        <f t="shared" si="0"/>
        <v>1</v>
      </c>
      <c r="J26" s="12">
        <f>DATEDIF(Table7[[#This Row],[Discharge Date 1]],Table7[[#This Row],[Post-Discharge Visit Date]],"d")</f>
        <v>9</v>
      </c>
      <c r="Q26" s="36"/>
    </row>
    <row r="27" spans="1:17">
      <c r="A27" s="24">
        <v>226</v>
      </c>
      <c r="B27" s="15">
        <v>22863</v>
      </c>
      <c r="C27" s="16" t="s">
        <v>31</v>
      </c>
      <c r="D27" s="17">
        <v>44978</v>
      </c>
      <c r="E27" s="17">
        <v>44984</v>
      </c>
      <c r="F27" s="16"/>
      <c r="G27" s="17">
        <v>45005</v>
      </c>
      <c r="H27" s="17">
        <v>45008</v>
      </c>
      <c r="I27" s="18">
        <f t="shared" si="0"/>
        <v>0</v>
      </c>
      <c r="J27" s="15" t="s">
        <v>58</v>
      </c>
      <c r="Q27" s="36"/>
    </row>
    <row r="28" spans="1:17">
      <c r="A28" s="23">
        <v>227</v>
      </c>
      <c r="B28" s="11">
        <v>22388</v>
      </c>
      <c r="C28" s="12" t="s">
        <v>31</v>
      </c>
      <c r="D28" s="13">
        <v>45071</v>
      </c>
      <c r="E28" s="13">
        <v>45075</v>
      </c>
      <c r="F28" s="13">
        <v>45078</v>
      </c>
      <c r="G28" s="12"/>
      <c r="H28" s="12"/>
      <c r="I28" s="14">
        <f t="shared" si="0"/>
        <v>1</v>
      </c>
      <c r="J28" s="12">
        <f>DATEDIF(Table7[[#This Row],[Discharge Date 1]],Table7[[#This Row],[Post-Discharge Visit Date]],"d")</f>
        <v>3</v>
      </c>
      <c r="Q28" s="36"/>
    </row>
    <row r="29" spans="1:17">
      <c r="A29" s="24">
        <v>237</v>
      </c>
      <c r="B29" s="15">
        <v>22300</v>
      </c>
      <c r="C29" s="16" t="s">
        <v>31</v>
      </c>
      <c r="D29" s="17">
        <v>45061</v>
      </c>
      <c r="E29" s="17">
        <v>45067</v>
      </c>
      <c r="F29" s="17">
        <v>45070</v>
      </c>
      <c r="G29" s="16"/>
      <c r="H29" s="16"/>
      <c r="I29" s="18">
        <f t="shared" si="0"/>
        <v>1</v>
      </c>
      <c r="J29" s="16">
        <f>DATEDIF(Table7[[#This Row],[Discharge Date 1]],Table7[[#This Row],[Post-Discharge Visit Date]],"d")</f>
        <v>3</v>
      </c>
      <c r="Q29" s="36"/>
    </row>
    <row r="30" spans="1:17">
      <c r="A30" s="23">
        <v>249</v>
      </c>
      <c r="B30" s="11">
        <v>12831</v>
      </c>
      <c r="C30" s="12" t="s">
        <v>31</v>
      </c>
      <c r="D30" s="13">
        <v>44953</v>
      </c>
      <c r="E30" s="13">
        <v>44953</v>
      </c>
      <c r="F30" s="13">
        <v>44966</v>
      </c>
      <c r="G30" s="12"/>
      <c r="H30" s="12"/>
      <c r="I30" s="14">
        <f t="shared" si="0"/>
        <v>1</v>
      </c>
      <c r="J30" s="12">
        <f>DATEDIF(Table7[[#This Row],[Discharge Date 1]],Table7[[#This Row],[Post-Discharge Visit Date]],"d")</f>
        <v>13</v>
      </c>
      <c r="Q30" s="36"/>
    </row>
    <row r="31" spans="1:17">
      <c r="A31" s="24">
        <v>251</v>
      </c>
      <c r="B31" s="15">
        <v>13606</v>
      </c>
      <c r="C31" s="16" t="s">
        <v>31</v>
      </c>
      <c r="D31" s="17">
        <v>45000</v>
      </c>
      <c r="E31" s="17">
        <v>45000</v>
      </c>
      <c r="F31" s="17">
        <v>45021</v>
      </c>
      <c r="G31" s="16"/>
      <c r="H31" s="16"/>
      <c r="I31" s="18">
        <f t="shared" si="0"/>
        <v>1</v>
      </c>
      <c r="J31" s="16">
        <f>DATEDIF(Table7[[#This Row],[Discharge Date 1]],Table7[[#This Row],[Post-Discharge Visit Date]],"d")</f>
        <v>21</v>
      </c>
      <c r="Q31" s="36"/>
    </row>
    <row r="32" spans="1:17">
      <c r="A32" s="23">
        <v>258</v>
      </c>
      <c r="B32" s="11">
        <v>29210</v>
      </c>
      <c r="C32" s="12" t="s">
        <v>31</v>
      </c>
      <c r="D32" s="13">
        <v>45023</v>
      </c>
      <c r="E32" s="13">
        <v>45024</v>
      </c>
      <c r="F32" s="13">
        <v>45037</v>
      </c>
      <c r="G32" s="12"/>
      <c r="H32" s="12"/>
      <c r="I32" s="14">
        <f t="shared" si="0"/>
        <v>1</v>
      </c>
      <c r="J32" s="12">
        <f>DATEDIF(Table7[[#This Row],[Discharge Date 1]],Table7[[#This Row],[Post-Discharge Visit Date]],"d")</f>
        <v>13</v>
      </c>
      <c r="Q32" s="36"/>
    </row>
    <row r="33" spans="1:17">
      <c r="A33" s="24">
        <v>260</v>
      </c>
      <c r="B33" s="15">
        <v>29114</v>
      </c>
      <c r="C33" s="16" t="s">
        <v>31</v>
      </c>
      <c r="D33" s="17">
        <v>44957</v>
      </c>
      <c r="E33" s="17">
        <v>44961</v>
      </c>
      <c r="F33" s="17">
        <v>44965</v>
      </c>
      <c r="G33" s="16"/>
      <c r="H33" s="16"/>
      <c r="I33" s="18">
        <f t="shared" si="0"/>
        <v>1</v>
      </c>
      <c r="J33" s="16">
        <f>DATEDIF(Table7[[#This Row],[Discharge Date 1]],Table7[[#This Row],[Post-Discharge Visit Date]],"d")</f>
        <v>4</v>
      </c>
      <c r="Q33" s="36"/>
    </row>
    <row r="34" spans="1:17">
      <c r="A34" s="23">
        <v>264</v>
      </c>
      <c r="B34" s="11">
        <v>26705</v>
      </c>
      <c r="C34" s="12" t="s">
        <v>31</v>
      </c>
      <c r="D34" s="13">
        <v>45062</v>
      </c>
      <c r="E34" s="13">
        <v>45067</v>
      </c>
      <c r="F34" s="13">
        <v>45074</v>
      </c>
      <c r="G34" s="12"/>
      <c r="H34" s="12"/>
      <c r="I34" s="14">
        <f t="shared" si="0"/>
        <v>1</v>
      </c>
      <c r="J34" s="12">
        <f>DATEDIF(Table7[[#This Row],[Discharge Date 1]],Table7[[#This Row],[Post-Discharge Visit Date]],"d")</f>
        <v>7</v>
      </c>
      <c r="Q34" s="36"/>
    </row>
    <row r="35" spans="1:17">
      <c r="A35" s="24">
        <v>269</v>
      </c>
      <c r="B35" s="15">
        <v>21917</v>
      </c>
      <c r="C35" s="16" t="s">
        <v>31</v>
      </c>
      <c r="D35" s="17">
        <v>44941</v>
      </c>
      <c r="E35" s="17">
        <v>44946</v>
      </c>
      <c r="F35" s="17">
        <v>44958</v>
      </c>
      <c r="G35" s="16"/>
      <c r="H35" s="16"/>
      <c r="I35" s="18">
        <f t="shared" si="0"/>
        <v>1</v>
      </c>
      <c r="J35" s="16">
        <f>DATEDIF(Table7[[#This Row],[Discharge Date 1]],Table7[[#This Row],[Post-Discharge Visit Date]],"d")</f>
        <v>12</v>
      </c>
      <c r="Q35" s="36"/>
    </row>
    <row r="36" spans="1:17">
      <c r="A36" s="23">
        <v>272</v>
      </c>
      <c r="B36" s="11">
        <v>29030</v>
      </c>
      <c r="C36" s="12" t="s">
        <v>31</v>
      </c>
      <c r="D36" s="13">
        <v>45063</v>
      </c>
      <c r="E36" s="13">
        <v>45065</v>
      </c>
      <c r="F36" s="13">
        <v>45065</v>
      </c>
      <c r="G36" s="12"/>
      <c r="H36" s="12"/>
      <c r="I36" s="14">
        <f t="shared" si="0"/>
        <v>1</v>
      </c>
      <c r="J36" s="16">
        <f>DATEDIF(Table7[[#This Row],[Discharge Date 1]],Table7[[#This Row],[Post-Discharge Visit Date]],"d")</f>
        <v>0</v>
      </c>
      <c r="Q36" s="36"/>
    </row>
    <row r="37" spans="1:17">
      <c r="A37" s="24">
        <v>273</v>
      </c>
      <c r="B37" s="15">
        <v>16763</v>
      </c>
      <c r="C37" s="16" t="s">
        <v>31</v>
      </c>
      <c r="D37" s="17">
        <v>44981</v>
      </c>
      <c r="E37" s="17">
        <v>44985</v>
      </c>
      <c r="F37" s="16"/>
      <c r="G37" s="17">
        <v>44997</v>
      </c>
      <c r="H37" s="17">
        <v>45000</v>
      </c>
      <c r="I37" s="18">
        <f t="shared" si="0"/>
        <v>0</v>
      </c>
      <c r="J37" s="16" t="s">
        <v>58</v>
      </c>
      <c r="Q37" s="36"/>
    </row>
    <row r="38" spans="1:17">
      <c r="A38" s="23">
        <v>288</v>
      </c>
      <c r="B38" s="11">
        <v>28819</v>
      </c>
      <c r="C38" s="12" t="s">
        <v>31</v>
      </c>
      <c r="D38" s="13">
        <v>44937</v>
      </c>
      <c r="E38" s="13">
        <v>44937</v>
      </c>
      <c r="F38" s="12"/>
      <c r="G38" s="13">
        <v>44966</v>
      </c>
      <c r="H38" s="13">
        <v>44971</v>
      </c>
      <c r="I38" s="14">
        <f t="shared" si="0"/>
        <v>0</v>
      </c>
      <c r="J38" s="11" t="s">
        <v>58</v>
      </c>
      <c r="Q38" s="36"/>
    </row>
    <row r="39" spans="1:17">
      <c r="A39" s="24">
        <v>289</v>
      </c>
      <c r="B39" s="15">
        <v>10071</v>
      </c>
      <c r="C39" s="16" t="s">
        <v>31</v>
      </c>
      <c r="D39" s="17">
        <v>44990</v>
      </c>
      <c r="E39" s="17">
        <v>44991</v>
      </c>
      <c r="F39" s="17">
        <v>44995</v>
      </c>
      <c r="G39" s="17">
        <v>45013</v>
      </c>
      <c r="H39" s="17">
        <v>45019</v>
      </c>
      <c r="I39" s="18">
        <f t="shared" si="0"/>
        <v>1</v>
      </c>
      <c r="J39" s="15">
        <f>DATEDIF(Table7[[#This Row],[Discharge Date 1]],Table7[[#This Row],[Post-Discharge Visit Date]],"d")</f>
        <v>4</v>
      </c>
      <c r="Q39" s="36"/>
    </row>
    <row r="40" spans="1:17">
      <c r="A40" s="23">
        <v>290</v>
      </c>
      <c r="B40" s="11">
        <v>25994</v>
      </c>
      <c r="C40" s="12" t="s">
        <v>31</v>
      </c>
      <c r="D40" s="13">
        <v>45039</v>
      </c>
      <c r="E40" s="13">
        <v>45041</v>
      </c>
      <c r="F40" s="13">
        <v>45045</v>
      </c>
      <c r="G40" s="13">
        <v>45062</v>
      </c>
      <c r="H40" s="13">
        <v>45064</v>
      </c>
      <c r="I40" s="14">
        <f t="shared" si="0"/>
        <v>1</v>
      </c>
      <c r="J40" s="11">
        <f>DATEDIF(Table7[[#This Row],[Discharge Date 1]],Table7[[#This Row],[Post-Discharge Visit Date]],"d")</f>
        <v>4</v>
      </c>
      <c r="Q40" s="36"/>
    </row>
    <row r="41" spans="1:17">
      <c r="A41" s="24">
        <v>295</v>
      </c>
      <c r="B41" s="15">
        <v>27569</v>
      </c>
      <c r="C41" s="16" t="s">
        <v>31</v>
      </c>
      <c r="D41" s="17">
        <v>45061</v>
      </c>
      <c r="E41" s="17">
        <v>45065</v>
      </c>
      <c r="F41" s="16"/>
      <c r="G41" s="17">
        <v>45078</v>
      </c>
      <c r="H41" s="17">
        <v>45084</v>
      </c>
      <c r="I41" s="18">
        <f t="shared" si="0"/>
        <v>0</v>
      </c>
      <c r="J41" s="15" t="s">
        <v>58</v>
      </c>
      <c r="Q41" s="36"/>
    </row>
    <row r="42" spans="1:17">
      <c r="A42" s="23">
        <v>296</v>
      </c>
      <c r="B42" s="11">
        <v>14322</v>
      </c>
      <c r="C42" s="12" t="s">
        <v>31</v>
      </c>
      <c r="D42" s="13">
        <v>44978</v>
      </c>
      <c r="E42" s="13">
        <v>44984</v>
      </c>
      <c r="F42" s="12"/>
      <c r="G42" s="13">
        <v>44997</v>
      </c>
      <c r="H42" s="13">
        <v>45003</v>
      </c>
      <c r="I42" s="14">
        <f t="shared" si="0"/>
        <v>0</v>
      </c>
      <c r="J42" s="11" t="s">
        <v>58</v>
      </c>
      <c r="Q42" s="36"/>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AF173-DC68-47B5-9970-1BB7F86380FC}">
  <dimension ref="A1:S52"/>
  <sheetViews>
    <sheetView topLeftCell="I1" workbookViewId="0">
      <selection activeCell="N2" sqref="N2"/>
    </sheetView>
  </sheetViews>
  <sheetFormatPr baseColWidth="10" defaultColWidth="8.83203125" defaultRowHeight="13"/>
  <cols>
    <col min="1" max="1" width="9.5" bestFit="1" customWidth="1"/>
    <col min="2" max="2" width="11.5" bestFit="1" customWidth="1"/>
    <col min="3" max="3" width="13.5" customWidth="1"/>
    <col min="4" max="4" width="17.33203125" bestFit="1" customWidth="1"/>
    <col min="5" max="5" width="18.1640625" bestFit="1" customWidth="1"/>
    <col min="6" max="6" width="16.33203125" bestFit="1" customWidth="1"/>
    <col min="7" max="7" width="18.1640625" bestFit="1" customWidth="1"/>
    <col min="8" max="8" width="18.5" bestFit="1" customWidth="1"/>
    <col min="9" max="9" width="16.5" bestFit="1" customWidth="1"/>
    <col min="10" max="10" width="20.83203125" customWidth="1"/>
    <col min="11" max="11" width="18.1640625" bestFit="1" customWidth="1"/>
    <col min="12" max="12" width="13.6640625" customWidth="1"/>
    <col min="13" max="13" width="30.83203125" bestFit="1" customWidth="1"/>
    <col min="14" max="14" width="36.5" bestFit="1" customWidth="1"/>
    <col min="15" max="15" width="23.83203125" bestFit="1" customWidth="1"/>
    <col min="16" max="16" width="28.5" bestFit="1" customWidth="1"/>
    <col min="17" max="17" width="33" bestFit="1" customWidth="1"/>
    <col min="18" max="19" width="36.5" bestFit="1" customWidth="1"/>
  </cols>
  <sheetData>
    <row r="1" spans="1:19" ht="28">
      <c r="A1" s="22" t="s">
        <v>22</v>
      </c>
      <c r="B1" s="19" t="s">
        <v>23</v>
      </c>
      <c r="C1" s="19" t="s">
        <v>24</v>
      </c>
      <c r="D1" s="19" t="s">
        <v>25</v>
      </c>
      <c r="E1" s="19" t="s">
        <v>26</v>
      </c>
      <c r="F1" s="19" t="s">
        <v>27</v>
      </c>
      <c r="G1" s="19" t="s">
        <v>28</v>
      </c>
      <c r="H1" s="19" t="s">
        <v>29</v>
      </c>
      <c r="I1" s="27" t="s">
        <v>30</v>
      </c>
      <c r="J1" s="30" t="s">
        <v>59</v>
      </c>
      <c r="K1" s="20" t="s">
        <v>35</v>
      </c>
      <c r="L1" s="20" t="s">
        <v>64</v>
      </c>
      <c r="M1" t="s">
        <v>72</v>
      </c>
      <c r="N1" s="20" t="s">
        <v>69</v>
      </c>
      <c r="O1" t="s">
        <v>39</v>
      </c>
      <c r="P1" t="s">
        <v>40</v>
      </c>
      <c r="Q1" t="s">
        <v>55</v>
      </c>
      <c r="R1" s="20" t="s">
        <v>73</v>
      </c>
      <c r="S1" s="20" t="s">
        <v>43</v>
      </c>
    </row>
    <row r="2" spans="1:19">
      <c r="A2" s="23">
        <v>11</v>
      </c>
      <c r="B2" s="11">
        <v>14020</v>
      </c>
      <c r="C2" s="12" t="s">
        <v>45</v>
      </c>
      <c r="D2" s="13">
        <v>44950</v>
      </c>
      <c r="E2" s="13">
        <v>44954</v>
      </c>
      <c r="F2" s="13">
        <v>44972</v>
      </c>
      <c r="G2" s="13">
        <v>44982</v>
      </c>
      <c r="H2" s="13">
        <v>44986</v>
      </c>
      <c r="I2" s="14">
        <f t="shared" ref="I2:I52" si="0">IF(ISBLANK(F2),0,1)</f>
        <v>1</v>
      </c>
      <c r="J2" s="33">
        <f>DATEDIF(Table8[[#This Row],[Discharge Date 1]],Table8[[#This Row],[Post-Discharge Visit Date]],"d")</f>
        <v>18</v>
      </c>
      <c r="K2">
        <f>COUNT(B2:B52)</f>
        <v>51</v>
      </c>
      <c r="L2">
        <f>SUM(I2:I52)</f>
        <v>43</v>
      </c>
      <c r="M2" s="21">
        <f>L2/K2</f>
        <v>0.84313725490196079</v>
      </c>
      <c r="N2" s="35">
        <f>AVERAGE(Table8[[Days Between Initial Discharge and PDV ]])</f>
        <v>14.162790697674419</v>
      </c>
      <c r="O2">
        <f>COUNTA(Table8[Readmission Date])</f>
        <v>11</v>
      </c>
      <c r="P2" s="36">
        <f>Table8[[#This Row],[Count of Readmissions]]/Table8[[#This Row],[Count of Admissions ]]</f>
        <v>0.21568627450980393</v>
      </c>
      <c r="Q2">
        <f>COUNTIFS(G2:G52, "&gt;" &amp; 0, I2:I52, 1)</f>
        <v>8</v>
      </c>
      <c r="R2" s="36">
        <f>Table8[[#This Row],[Count of Readmissions with PDV ]]/Table8[[#This Row],[Count of Readmissions]]</f>
        <v>0.72727272727272729</v>
      </c>
      <c r="S2" s="36">
        <f>3/Table8[[#This Row],[Count of Readmissions]]</f>
        <v>0.27272727272727271</v>
      </c>
    </row>
    <row r="3" spans="1:19">
      <c r="A3" s="24">
        <v>16</v>
      </c>
      <c r="B3" s="15">
        <v>21664</v>
      </c>
      <c r="C3" s="16" t="s">
        <v>45</v>
      </c>
      <c r="D3" s="17">
        <v>45010</v>
      </c>
      <c r="E3" s="17">
        <v>45010</v>
      </c>
      <c r="F3" s="17">
        <v>45020</v>
      </c>
      <c r="G3" s="17">
        <v>45031</v>
      </c>
      <c r="H3" s="17">
        <v>45035</v>
      </c>
      <c r="I3" s="18">
        <f t="shared" si="0"/>
        <v>1</v>
      </c>
      <c r="J3" s="34">
        <f>DATEDIF(Table8[[#This Row],[Discharge Date 1]],Table8[[#This Row],[Post-Discharge Visit Date]],"d")</f>
        <v>10</v>
      </c>
    </row>
    <row r="4" spans="1:19">
      <c r="A4" s="23">
        <v>24</v>
      </c>
      <c r="B4" s="11">
        <v>13108</v>
      </c>
      <c r="C4" s="12" t="s">
        <v>45</v>
      </c>
      <c r="D4" s="13">
        <v>44932</v>
      </c>
      <c r="E4" s="13">
        <v>44937</v>
      </c>
      <c r="F4" s="12"/>
      <c r="G4" s="13">
        <v>44965</v>
      </c>
      <c r="H4" s="13">
        <v>44969</v>
      </c>
      <c r="I4" s="14">
        <f t="shared" si="0"/>
        <v>0</v>
      </c>
      <c r="J4" s="1" t="s">
        <v>58</v>
      </c>
    </row>
    <row r="5" spans="1:19">
      <c r="A5" s="24">
        <v>29</v>
      </c>
      <c r="B5" s="15">
        <v>16944</v>
      </c>
      <c r="C5" s="16" t="s">
        <v>45</v>
      </c>
      <c r="D5" s="17">
        <v>45042</v>
      </c>
      <c r="E5" s="17">
        <v>45042</v>
      </c>
      <c r="F5" s="17">
        <v>45053</v>
      </c>
      <c r="G5" s="16"/>
      <c r="H5" s="16"/>
      <c r="I5" s="18">
        <f t="shared" si="0"/>
        <v>1</v>
      </c>
      <c r="J5" s="1">
        <f>DATEDIF(Table8[[#This Row],[Discharge Date 1]],Table8[[#This Row],[Post-Discharge Visit Date]],"d")</f>
        <v>11</v>
      </c>
    </row>
    <row r="6" spans="1:19">
      <c r="A6" s="23">
        <v>34</v>
      </c>
      <c r="B6" s="11">
        <v>27273</v>
      </c>
      <c r="C6" s="12" t="s">
        <v>45</v>
      </c>
      <c r="D6" s="13">
        <v>45024</v>
      </c>
      <c r="E6" s="13">
        <v>45025</v>
      </c>
      <c r="F6" s="13">
        <v>45038</v>
      </c>
      <c r="G6" s="12"/>
      <c r="H6" s="12"/>
      <c r="I6" s="14">
        <f t="shared" si="0"/>
        <v>1</v>
      </c>
      <c r="J6" s="29">
        <f>DATEDIF(Table8[[#This Row],[Discharge Date 1]],Table8[[#This Row],[Post-Discharge Visit Date]],"d")</f>
        <v>13</v>
      </c>
    </row>
    <row r="7" spans="1:19">
      <c r="A7" s="24">
        <v>40</v>
      </c>
      <c r="B7" s="15">
        <v>11452</v>
      </c>
      <c r="C7" s="16" t="s">
        <v>45</v>
      </c>
      <c r="D7" s="17">
        <v>44955</v>
      </c>
      <c r="E7" s="17">
        <v>44957</v>
      </c>
      <c r="F7" s="17">
        <v>44975</v>
      </c>
      <c r="G7" s="16"/>
      <c r="H7" s="16"/>
      <c r="I7" s="18">
        <f t="shared" si="0"/>
        <v>1</v>
      </c>
      <c r="J7" s="1">
        <f>DATEDIF(Table8[[#This Row],[Discharge Date 1]],Table8[[#This Row],[Post-Discharge Visit Date]],"d")</f>
        <v>18</v>
      </c>
    </row>
    <row r="8" spans="1:19">
      <c r="A8" s="23">
        <v>42</v>
      </c>
      <c r="B8" s="11">
        <v>23402</v>
      </c>
      <c r="C8" s="12" t="s">
        <v>45</v>
      </c>
      <c r="D8" s="13">
        <v>45031</v>
      </c>
      <c r="E8" s="13">
        <v>45036</v>
      </c>
      <c r="F8" s="13">
        <v>45036</v>
      </c>
      <c r="G8" s="12"/>
      <c r="H8" s="12"/>
      <c r="I8" s="14">
        <f t="shared" si="0"/>
        <v>1</v>
      </c>
      <c r="J8" s="29">
        <f>DATEDIF(Table8[[#This Row],[Discharge Date 1]],Table8[[#This Row],[Post-Discharge Visit Date]],"d")</f>
        <v>0</v>
      </c>
    </row>
    <row r="9" spans="1:19">
      <c r="A9" s="24">
        <v>43</v>
      </c>
      <c r="B9" s="15">
        <v>13965</v>
      </c>
      <c r="C9" s="16" t="s">
        <v>45</v>
      </c>
      <c r="D9" s="17">
        <v>45015</v>
      </c>
      <c r="E9" s="17">
        <v>45017</v>
      </c>
      <c r="F9" s="17">
        <v>45018</v>
      </c>
      <c r="G9" s="16"/>
      <c r="H9" s="16"/>
      <c r="I9" s="18">
        <f t="shared" si="0"/>
        <v>1</v>
      </c>
      <c r="J9" s="1">
        <f>DATEDIF(Table8[[#This Row],[Discharge Date 1]],Table8[[#This Row],[Post-Discharge Visit Date]],"d")</f>
        <v>1</v>
      </c>
    </row>
    <row r="10" spans="1:19">
      <c r="A10" s="23">
        <v>47</v>
      </c>
      <c r="B10" s="11">
        <v>21931</v>
      </c>
      <c r="C10" s="12" t="s">
        <v>45</v>
      </c>
      <c r="D10" s="13">
        <v>44974</v>
      </c>
      <c r="E10" s="13">
        <v>44978</v>
      </c>
      <c r="F10" s="13">
        <v>44997</v>
      </c>
      <c r="G10" s="12"/>
      <c r="H10" s="12"/>
      <c r="I10" s="14">
        <f t="shared" si="0"/>
        <v>1</v>
      </c>
      <c r="J10" s="29">
        <f>DATEDIF(Table8[[#This Row],[Discharge Date 1]],Table8[[#This Row],[Post-Discharge Visit Date]],"d")</f>
        <v>19</v>
      </c>
    </row>
    <row r="11" spans="1:19">
      <c r="A11" s="24">
        <v>48</v>
      </c>
      <c r="B11" s="15">
        <v>17913</v>
      </c>
      <c r="C11" s="16" t="s">
        <v>45</v>
      </c>
      <c r="D11" s="17">
        <v>44979</v>
      </c>
      <c r="E11" s="17">
        <v>44980</v>
      </c>
      <c r="F11" s="16"/>
      <c r="G11" s="16"/>
      <c r="H11" s="16"/>
      <c r="I11" s="18">
        <f t="shared" si="0"/>
        <v>0</v>
      </c>
      <c r="J11" s="1" t="s">
        <v>58</v>
      </c>
    </row>
    <row r="12" spans="1:19">
      <c r="A12" s="23">
        <v>54</v>
      </c>
      <c r="B12" s="11">
        <v>18180</v>
      </c>
      <c r="C12" s="12" t="s">
        <v>45</v>
      </c>
      <c r="D12" s="13">
        <v>44966</v>
      </c>
      <c r="E12" s="13">
        <v>44968</v>
      </c>
      <c r="F12" s="13">
        <v>44992</v>
      </c>
      <c r="G12" s="12"/>
      <c r="H12" s="12"/>
      <c r="I12" s="14">
        <f t="shared" si="0"/>
        <v>1</v>
      </c>
      <c r="J12" s="29">
        <f>DATEDIF(Table8[[#This Row],[Discharge Date 1]],Table8[[#This Row],[Post-Discharge Visit Date]],"d")</f>
        <v>24</v>
      </c>
    </row>
    <row r="13" spans="1:19">
      <c r="A13" s="24">
        <v>56</v>
      </c>
      <c r="B13" s="15">
        <v>24721</v>
      </c>
      <c r="C13" s="16" t="s">
        <v>45</v>
      </c>
      <c r="D13" s="17">
        <v>45062</v>
      </c>
      <c r="E13" s="17">
        <v>45062</v>
      </c>
      <c r="F13" s="17">
        <v>45068</v>
      </c>
      <c r="G13" s="16"/>
      <c r="H13" s="16"/>
      <c r="I13" s="18">
        <f t="shared" si="0"/>
        <v>1</v>
      </c>
      <c r="J13" s="1">
        <f>DATEDIF(Table8[[#This Row],[Discharge Date 1]],Table8[[#This Row],[Post-Discharge Visit Date]],"d")</f>
        <v>6</v>
      </c>
    </row>
    <row r="14" spans="1:19">
      <c r="A14" s="23">
        <v>62</v>
      </c>
      <c r="B14" s="11">
        <v>28549</v>
      </c>
      <c r="C14" s="12" t="s">
        <v>45</v>
      </c>
      <c r="D14" s="13">
        <v>45005</v>
      </c>
      <c r="E14" s="13">
        <v>45008</v>
      </c>
      <c r="F14" s="13">
        <v>45029</v>
      </c>
      <c r="G14" s="12"/>
      <c r="H14" s="12"/>
      <c r="I14" s="14">
        <f t="shared" si="0"/>
        <v>1</v>
      </c>
      <c r="J14" s="29">
        <f>DATEDIF(Table8[[#This Row],[Discharge Date 1]],Table8[[#This Row],[Post-Discharge Visit Date]],"d")</f>
        <v>21</v>
      </c>
    </row>
    <row r="15" spans="1:19">
      <c r="A15" s="24">
        <v>64</v>
      </c>
      <c r="B15" s="15">
        <v>11359</v>
      </c>
      <c r="C15" s="16" t="s">
        <v>45</v>
      </c>
      <c r="D15" s="17">
        <v>44984</v>
      </c>
      <c r="E15" s="17">
        <v>44988</v>
      </c>
      <c r="F15" s="17">
        <v>44993</v>
      </c>
      <c r="G15" s="16"/>
      <c r="H15" s="16" t="s">
        <v>74</v>
      </c>
      <c r="I15" s="18">
        <f t="shared" si="0"/>
        <v>1</v>
      </c>
      <c r="J15" s="1">
        <f>DATEDIF(Table8[[#This Row],[Discharge Date 1]],Table8[[#This Row],[Post-Discharge Visit Date]],"d")</f>
        <v>5</v>
      </c>
    </row>
    <row r="16" spans="1:19">
      <c r="A16" s="23">
        <v>65</v>
      </c>
      <c r="B16" s="11">
        <v>20052</v>
      </c>
      <c r="C16" s="12" t="s">
        <v>45</v>
      </c>
      <c r="D16" s="13">
        <v>45051</v>
      </c>
      <c r="E16" s="13">
        <v>45054</v>
      </c>
      <c r="F16" s="13">
        <v>45061</v>
      </c>
      <c r="G16" s="12"/>
      <c r="H16" s="12"/>
      <c r="I16" s="14">
        <f t="shared" si="0"/>
        <v>1</v>
      </c>
      <c r="J16" s="29">
        <f>DATEDIF(Table8[[#This Row],[Discharge Date 1]],Table8[[#This Row],[Post-Discharge Visit Date]],"d")</f>
        <v>7</v>
      </c>
    </row>
    <row r="17" spans="1:10">
      <c r="A17" s="24">
        <v>66</v>
      </c>
      <c r="B17" s="15">
        <v>28839</v>
      </c>
      <c r="C17" s="16" t="s">
        <v>45</v>
      </c>
      <c r="D17" s="17">
        <v>45043</v>
      </c>
      <c r="E17" s="17">
        <v>45044</v>
      </c>
      <c r="F17" s="17">
        <v>45057</v>
      </c>
      <c r="G17" s="16"/>
      <c r="H17" s="16"/>
      <c r="I17" s="18">
        <f t="shared" si="0"/>
        <v>1</v>
      </c>
      <c r="J17" s="1">
        <f>DATEDIF(Table8[[#This Row],[Discharge Date 1]],Table8[[#This Row],[Post-Discharge Visit Date]],"d")</f>
        <v>13</v>
      </c>
    </row>
    <row r="18" spans="1:10">
      <c r="A18" s="23">
        <v>67</v>
      </c>
      <c r="B18" s="11">
        <v>18995</v>
      </c>
      <c r="C18" s="12" t="s">
        <v>45</v>
      </c>
      <c r="D18" s="13">
        <v>44977</v>
      </c>
      <c r="E18" s="13">
        <v>44977</v>
      </c>
      <c r="F18" s="13">
        <v>44984</v>
      </c>
      <c r="G18" s="12"/>
      <c r="H18" s="12"/>
      <c r="I18" s="14">
        <f t="shared" si="0"/>
        <v>1</v>
      </c>
      <c r="J18" s="29">
        <f>DATEDIF(Table8[[#This Row],[Discharge Date 1]],Table8[[#This Row],[Post-Discharge Visit Date]],"d")</f>
        <v>7</v>
      </c>
    </row>
    <row r="19" spans="1:10">
      <c r="A19" s="24">
        <v>69</v>
      </c>
      <c r="B19" s="15">
        <v>29564</v>
      </c>
      <c r="C19" s="16" t="s">
        <v>45</v>
      </c>
      <c r="D19" s="17">
        <v>44994</v>
      </c>
      <c r="E19" s="17">
        <v>44998</v>
      </c>
      <c r="F19" s="17">
        <v>45009</v>
      </c>
      <c r="G19" s="16"/>
      <c r="H19" s="16"/>
      <c r="I19" s="18">
        <f t="shared" si="0"/>
        <v>1</v>
      </c>
      <c r="J19" s="1">
        <f>DATEDIF(Table8[[#This Row],[Discharge Date 1]],Table8[[#This Row],[Post-Discharge Visit Date]],"d")</f>
        <v>11</v>
      </c>
    </row>
    <row r="20" spans="1:10">
      <c r="A20" s="23">
        <v>70</v>
      </c>
      <c r="B20" s="11">
        <v>28949</v>
      </c>
      <c r="C20" s="12" t="s">
        <v>45</v>
      </c>
      <c r="D20" s="13">
        <v>45022</v>
      </c>
      <c r="E20" s="13">
        <v>45022</v>
      </c>
      <c r="F20" s="13">
        <v>45042</v>
      </c>
      <c r="G20" s="12"/>
      <c r="H20" s="12"/>
      <c r="I20" s="14">
        <f t="shared" si="0"/>
        <v>1</v>
      </c>
      <c r="J20" s="29">
        <f>DATEDIF(Table8[[#This Row],[Discharge Date 1]],Table8[[#This Row],[Post-Discharge Visit Date]],"d")</f>
        <v>20</v>
      </c>
    </row>
    <row r="21" spans="1:10">
      <c r="A21" s="24">
        <v>81</v>
      </c>
      <c r="B21" s="15">
        <v>15924</v>
      </c>
      <c r="C21" s="16" t="s">
        <v>45</v>
      </c>
      <c r="D21" s="17">
        <v>45058</v>
      </c>
      <c r="E21" s="17">
        <v>45060</v>
      </c>
      <c r="F21" s="16"/>
      <c r="G21" s="16"/>
      <c r="H21" s="16"/>
      <c r="I21" s="18">
        <f t="shared" si="0"/>
        <v>0</v>
      </c>
      <c r="J21" s="1" t="s">
        <v>58</v>
      </c>
    </row>
    <row r="22" spans="1:10">
      <c r="A22" s="23">
        <v>83</v>
      </c>
      <c r="B22" s="11">
        <v>29930</v>
      </c>
      <c r="C22" s="12" t="s">
        <v>45</v>
      </c>
      <c r="D22" s="13">
        <v>45008</v>
      </c>
      <c r="E22" s="13">
        <v>45010</v>
      </c>
      <c r="F22" s="12"/>
      <c r="G22" s="13">
        <v>45036</v>
      </c>
      <c r="H22" s="13">
        <v>45037</v>
      </c>
      <c r="I22" s="14">
        <f t="shared" si="0"/>
        <v>0</v>
      </c>
      <c r="J22" s="1" t="s">
        <v>58</v>
      </c>
    </row>
    <row r="23" spans="1:10">
      <c r="A23" s="24">
        <v>111</v>
      </c>
      <c r="B23" s="15">
        <v>23857</v>
      </c>
      <c r="C23" s="16" t="s">
        <v>45</v>
      </c>
      <c r="D23" s="17">
        <v>44999</v>
      </c>
      <c r="E23" s="17">
        <v>45002</v>
      </c>
      <c r="F23" s="17">
        <v>45012</v>
      </c>
      <c r="G23" s="17">
        <v>45016</v>
      </c>
      <c r="H23" s="17">
        <v>45021</v>
      </c>
      <c r="I23" s="18">
        <f t="shared" si="0"/>
        <v>1</v>
      </c>
      <c r="J23" s="34">
        <f>DATEDIF(Table8[[#This Row],[Discharge Date 1]],Table8[[#This Row],[Post-Discharge Visit Date]],"d")</f>
        <v>10</v>
      </c>
    </row>
    <row r="24" spans="1:10">
      <c r="A24" s="23">
        <v>118</v>
      </c>
      <c r="B24" s="11">
        <v>28242</v>
      </c>
      <c r="C24" s="12" t="s">
        <v>45</v>
      </c>
      <c r="D24" s="13">
        <v>44932</v>
      </c>
      <c r="E24" s="13">
        <v>44937</v>
      </c>
      <c r="F24" s="13">
        <v>44951</v>
      </c>
      <c r="G24" s="12"/>
      <c r="H24" s="12"/>
      <c r="I24" s="14">
        <f t="shared" si="0"/>
        <v>1</v>
      </c>
      <c r="J24" s="29">
        <f>DATEDIF(Table8[[#This Row],[Discharge Date 1]],Table8[[#This Row],[Post-Discharge Visit Date]],"d")</f>
        <v>14</v>
      </c>
    </row>
    <row r="25" spans="1:10">
      <c r="A25" s="24">
        <v>120</v>
      </c>
      <c r="B25" s="15">
        <v>15198</v>
      </c>
      <c r="C25" s="16" t="s">
        <v>45</v>
      </c>
      <c r="D25" s="17">
        <v>44999</v>
      </c>
      <c r="E25" s="17">
        <v>45004</v>
      </c>
      <c r="F25" s="17">
        <v>45017</v>
      </c>
      <c r="G25" s="16"/>
      <c r="H25" s="16"/>
      <c r="I25" s="18">
        <f t="shared" si="0"/>
        <v>1</v>
      </c>
      <c r="J25" s="1">
        <f>DATEDIF(Table8[[#This Row],[Discharge Date 1]],Table8[[#This Row],[Post-Discharge Visit Date]],"d")</f>
        <v>13</v>
      </c>
    </row>
    <row r="26" spans="1:10">
      <c r="A26" s="23">
        <v>129</v>
      </c>
      <c r="B26" s="11">
        <v>12540</v>
      </c>
      <c r="C26" s="12" t="s">
        <v>45</v>
      </c>
      <c r="D26" s="13">
        <v>44951</v>
      </c>
      <c r="E26" s="13">
        <v>44956</v>
      </c>
      <c r="F26" s="13">
        <v>44959</v>
      </c>
      <c r="G26" s="12"/>
      <c r="H26" s="12"/>
      <c r="I26" s="14">
        <f t="shared" si="0"/>
        <v>1</v>
      </c>
      <c r="J26" s="29">
        <f>DATEDIF(Table8[[#This Row],[Discharge Date 1]],Table8[[#This Row],[Post-Discharge Visit Date]],"d")</f>
        <v>3</v>
      </c>
    </row>
    <row r="27" spans="1:10">
      <c r="A27" s="24">
        <v>136</v>
      </c>
      <c r="B27" s="15">
        <v>20347</v>
      </c>
      <c r="C27" s="16" t="s">
        <v>45</v>
      </c>
      <c r="D27" s="17">
        <v>45051</v>
      </c>
      <c r="E27" s="17">
        <v>45051</v>
      </c>
      <c r="F27" s="17">
        <v>45070</v>
      </c>
      <c r="G27" s="16"/>
      <c r="H27" s="16"/>
      <c r="I27" s="18">
        <f t="shared" si="0"/>
        <v>1</v>
      </c>
      <c r="J27" s="1">
        <f>DATEDIF(Table8[[#This Row],[Discharge Date 1]],Table8[[#This Row],[Post-Discharge Visit Date]],"d")</f>
        <v>19</v>
      </c>
    </row>
    <row r="28" spans="1:10">
      <c r="A28" s="23">
        <v>138</v>
      </c>
      <c r="B28" s="11">
        <v>26133</v>
      </c>
      <c r="C28" s="12" t="s">
        <v>45</v>
      </c>
      <c r="D28" s="13">
        <v>45045</v>
      </c>
      <c r="E28" s="13">
        <v>45051</v>
      </c>
      <c r="F28" s="13">
        <v>45077</v>
      </c>
      <c r="G28" s="12"/>
      <c r="H28" s="12"/>
      <c r="I28" s="14">
        <f t="shared" si="0"/>
        <v>1</v>
      </c>
      <c r="J28" s="29">
        <f>DATEDIF(Table8[[#This Row],[Discharge Date 1]],Table8[[#This Row],[Post-Discharge Visit Date]],"d")</f>
        <v>26</v>
      </c>
    </row>
    <row r="29" spans="1:10">
      <c r="A29" s="24">
        <v>141</v>
      </c>
      <c r="B29" s="15">
        <v>27990</v>
      </c>
      <c r="C29" s="16" t="s">
        <v>45</v>
      </c>
      <c r="D29" s="17">
        <v>44944</v>
      </c>
      <c r="E29" s="17">
        <v>44948</v>
      </c>
      <c r="F29" s="17">
        <v>44955</v>
      </c>
      <c r="G29" s="16"/>
      <c r="H29" s="16"/>
      <c r="I29" s="18">
        <f t="shared" si="0"/>
        <v>1</v>
      </c>
      <c r="J29" s="1">
        <f>DATEDIF(Table8[[#This Row],[Discharge Date 1]],Table8[[#This Row],[Post-Discharge Visit Date]],"d")</f>
        <v>7</v>
      </c>
    </row>
    <row r="30" spans="1:10">
      <c r="A30" s="23">
        <v>151</v>
      </c>
      <c r="B30" s="11">
        <v>12275</v>
      </c>
      <c r="C30" s="12" t="s">
        <v>45</v>
      </c>
      <c r="D30" s="13">
        <v>44976</v>
      </c>
      <c r="E30" s="13">
        <v>44982</v>
      </c>
      <c r="F30" s="13">
        <v>44983</v>
      </c>
      <c r="G30" s="12"/>
      <c r="H30" s="12"/>
      <c r="I30" s="14">
        <f t="shared" si="0"/>
        <v>1</v>
      </c>
      <c r="J30" s="29">
        <f>DATEDIF(Table8[[#This Row],[Discharge Date 1]],Table8[[#This Row],[Post-Discharge Visit Date]],"d")</f>
        <v>1</v>
      </c>
    </row>
    <row r="31" spans="1:10">
      <c r="A31" s="24">
        <v>155</v>
      </c>
      <c r="B31" s="15">
        <v>27048</v>
      </c>
      <c r="C31" s="16" t="s">
        <v>45</v>
      </c>
      <c r="D31" s="17">
        <v>45065</v>
      </c>
      <c r="E31" s="17">
        <v>45069</v>
      </c>
      <c r="F31" s="17">
        <v>45081</v>
      </c>
      <c r="G31" s="16"/>
      <c r="H31" s="16"/>
      <c r="I31" s="18">
        <f t="shared" si="0"/>
        <v>1</v>
      </c>
      <c r="J31" s="1">
        <f>DATEDIF(Table8[[#This Row],[Discharge Date 1]],Table8[[#This Row],[Post-Discharge Visit Date]],"d")</f>
        <v>12</v>
      </c>
    </row>
    <row r="32" spans="1:10">
      <c r="A32" s="23">
        <v>174</v>
      </c>
      <c r="B32" s="11">
        <v>16096</v>
      </c>
      <c r="C32" s="12" t="s">
        <v>45</v>
      </c>
      <c r="D32" s="13">
        <v>44942</v>
      </c>
      <c r="E32" s="13">
        <v>44946</v>
      </c>
      <c r="F32" s="13">
        <v>44967</v>
      </c>
      <c r="G32" s="12"/>
      <c r="H32" s="12"/>
      <c r="I32" s="14">
        <f t="shared" si="0"/>
        <v>1</v>
      </c>
      <c r="J32" s="29">
        <f>DATEDIF(Table8[[#This Row],[Discharge Date 1]],Table8[[#This Row],[Post-Discharge Visit Date]],"d")</f>
        <v>21</v>
      </c>
    </row>
    <row r="33" spans="1:10">
      <c r="A33" s="24">
        <v>185</v>
      </c>
      <c r="B33" s="15">
        <v>22613</v>
      </c>
      <c r="C33" s="16" t="s">
        <v>45</v>
      </c>
      <c r="D33" s="17">
        <v>44943</v>
      </c>
      <c r="E33" s="17">
        <v>44949</v>
      </c>
      <c r="F33" s="17">
        <v>44956</v>
      </c>
      <c r="G33" s="16"/>
      <c r="H33" s="16"/>
      <c r="I33" s="18">
        <f t="shared" si="0"/>
        <v>1</v>
      </c>
      <c r="J33" s="1">
        <f>DATEDIF(Table8[[#This Row],[Discharge Date 1]],Table8[[#This Row],[Post-Discharge Visit Date]],"d")</f>
        <v>7</v>
      </c>
    </row>
    <row r="34" spans="1:10">
      <c r="A34" s="23">
        <v>196</v>
      </c>
      <c r="B34" s="11">
        <v>10555</v>
      </c>
      <c r="C34" s="12" t="s">
        <v>45</v>
      </c>
      <c r="D34" s="13">
        <v>45060</v>
      </c>
      <c r="E34" s="13">
        <v>45066</v>
      </c>
      <c r="F34" s="13">
        <v>45077</v>
      </c>
      <c r="G34" s="13">
        <v>45081</v>
      </c>
      <c r="H34" s="13">
        <v>45084</v>
      </c>
      <c r="I34" s="14">
        <f t="shared" si="0"/>
        <v>1</v>
      </c>
      <c r="J34" s="33">
        <f>DATEDIF(Table8[[#This Row],[Discharge Date 1]],Table8[[#This Row],[Post-Discharge Visit Date]],"d")</f>
        <v>11</v>
      </c>
    </row>
    <row r="35" spans="1:10">
      <c r="A35" s="24">
        <v>200</v>
      </c>
      <c r="B35" s="15">
        <v>11835</v>
      </c>
      <c r="C35" s="16" t="s">
        <v>45</v>
      </c>
      <c r="D35" s="17">
        <v>45038</v>
      </c>
      <c r="E35" s="17">
        <v>45040</v>
      </c>
      <c r="F35" s="17">
        <v>45064</v>
      </c>
      <c r="G35" s="17">
        <v>45066</v>
      </c>
      <c r="H35" s="17">
        <v>45068</v>
      </c>
      <c r="I35" s="18">
        <f t="shared" si="0"/>
        <v>1</v>
      </c>
      <c r="J35" s="34">
        <f>DATEDIF(Table8[[#This Row],[Discharge Date 1]],Table8[[#This Row],[Post-Discharge Visit Date]],"d")</f>
        <v>24</v>
      </c>
    </row>
    <row r="36" spans="1:10">
      <c r="A36" s="23">
        <v>210</v>
      </c>
      <c r="B36" s="11">
        <v>15293</v>
      </c>
      <c r="C36" s="12" t="s">
        <v>45</v>
      </c>
      <c r="D36" s="13">
        <v>45017</v>
      </c>
      <c r="E36" s="13">
        <v>45023</v>
      </c>
      <c r="F36" s="13">
        <v>45034</v>
      </c>
      <c r="G36" s="12"/>
      <c r="H36" s="12"/>
      <c r="I36" s="14">
        <f t="shared" si="0"/>
        <v>1</v>
      </c>
      <c r="J36" s="29">
        <f>DATEDIF(Table8[[#This Row],[Discharge Date 1]],Table8[[#This Row],[Post-Discharge Visit Date]],"d")</f>
        <v>11</v>
      </c>
    </row>
    <row r="37" spans="1:10">
      <c r="A37" s="24">
        <v>214</v>
      </c>
      <c r="B37" s="15">
        <v>17113</v>
      </c>
      <c r="C37" s="16" t="s">
        <v>45</v>
      </c>
      <c r="D37" s="17">
        <v>45031</v>
      </c>
      <c r="E37" s="17">
        <v>45036</v>
      </c>
      <c r="F37" s="16"/>
      <c r="G37" s="16"/>
      <c r="H37" s="16"/>
      <c r="I37" s="18">
        <f t="shared" si="0"/>
        <v>0</v>
      </c>
      <c r="J37" s="1" t="s">
        <v>58</v>
      </c>
    </row>
    <row r="38" spans="1:10">
      <c r="A38" s="23">
        <v>215</v>
      </c>
      <c r="B38" s="11">
        <v>11016</v>
      </c>
      <c r="C38" s="12" t="s">
        <v>45</v>
      </c>
      <c r="D38" s="13">
        <v>45014</v>
      </c>
      <c r="E38" s="13">
        <v>45016</v>
      </c>
      <c r="F38" s="12"/>
      <c r="G38" s="13">
        <v>45038</v>
      </c>
      <c r="H38" s="13">
        <v>45043</v>
      </c>
      <c r="I38" s="14">
        <f t="shared" si="0"/>
        <v>0</v>
      </c>
      <c r="J38" s="1" t="s">
        <v>58</v>
      </c>
    </row>
    <row r="39" spans="1:10">
      <c r="A39" s="24">
        <v>217</v>
      </c>
      <c r="B39" s="15">
        <v>29076</v>
      </c>
      <c r="C39" s="16" t="s">
        <v>45</v>
      </c>
      <c r="D39" s="17">
        <v>45040</v>
      </c>
      <c r="E39" s="17">
        <v>45043</v>
      </c>
      <c r="F39" s="16"/>
      <c r="G39" s="16"/>
      <c r="H39" s="16"/>
      <c r="I39" s="18">
        <f t="shared" si="0"/>
        <v>0</v>
      </c>
      <c r="J39" s="1" t="s">
        <v>58</v>
      </c>
    </row>
    <row r="40" spans="1:10">
      <c r="A40" s="23">
        <v>220</v>
      </c>
      <c r="B40" s="11">
        <v>23368</v>
      </c>
      <c r="C40" s="12" t="s">
        <v>45</v>
      </c>
      <c r="D40" s="13">
        <v>45005</v>
      </c>
      <c r="E40" s="13">
        <v>45007</v>
      </c>
      <c r="F40" s="13">
        <v>45020</v>
      </c>
      <c r="G40" s="12"/>
      <c r="H40" s="12"/>
      <c r="I40" s="14">
        <f t="shared" si="0"/>
        <v>1</v>
      </c>
      <c r="J40" s="29">
        <f>DATEDIF(Table8[[#This Row],[Discharge Date 1]],Table8[[#This Row],[Post-Discharge Visit Date]],"d")</f>
        <v>13</v>
      </c>
    </row>
    <row r="41" spans="1:10">
      <c r="A41" s="24">
        <v>229</v>
      </c>
      <c r="B41" s="15">
        <v>26682</v>
      </c>
      <c r="C41" s="16" t="s">
        <v>45</v>
      </c>
      <c r="D41" s="17">
        <v>44947</v>
      </c>
      <c r="E41" s="17">
        <v>44948</v>
      </c>
      <c r="F41" s="17">
        <v>44965</v>
      </c>
      <c r="G41" s="16"/>
      <c r="H41" s="16"/>
      <c r="I41" s="18">
        <f t="shared" si="0"/>
        <v>1</v>
      </c>
      <c r="J41" s="1">
        <f>DATEDIF(Table8[[#This Row],[Discharge Date 1]],Table8[[#This Row],[Post-Discharge Visit Date]],"d")</f>
        <v>17</v>
      </c>
    </row>
    <row r="42" spans="1:10">
      <c r="A42" s="23">
        <v>230</v>
      </c>
      <c r="B42" s="11">
        <v>24535</v>
      </c>
      <c r="C42" s="12" t="s">
        <v>45</v>
      </c>
      <c r="D42" s="13">
        <v>45032</v>
      </c>
      <c r="E42" s="13">
        <v>45033</v>
      </c>
      <c r="F42" s="13">
        <v>45056</v>
      </c>
      <c r="G42" s="12"/>
      <c r="H42" s="12"/>
      <c r="I42" s="14">
        <f t="shared" si="0"/>
        <v>1</v>
      </c>
      <c r="J42" s="29">
        <f>DATEDIF(Table8[[#This Row],[Discharge Date 1]],Table8[[#This Row],[Post-Discharge Visit Date]],"d")</f>
        <v>23</v>
      </c>
    </row>
    <row r="43" spans="1:10">
      <c r="A43" s="24">
        <v>243</v>
      </c>
      <c r="B43" s="15">
        <v>24171</v>
      </c>
      <c r="C43" s="16" t="s">
        <v>45</v>
      </c>
      <c r="D43" s="17">
        <v>44937</v>
      </c>
      <c r="E43" s="17">
        <v>44939</v>
      </c>
      <c r="F43" s="17">
        <v>44967</v>
      </c>
      <c r="G43" s="16"/>
      <c r="H43" s="16"/>
      <c r="I43" s="18">
        <f t="shared" si="0"/>
        <v>1</v>
      </c>
      <c r="J43" s="1">
        <f>DATEDIF(Table8[[#This Row],[Discharge Date 1]],Table8[[#This Row],[Post-Discharge Visit Date]],"d")</f>
        <v>28</v>
      </c>
    </row>
    <row r="44" spans="1:10">
      <c r="A44" s="23">
        <v>244</v>
      </c>
      <c r="B44" s="11">
        <v>18020</v>
      </c>
      <c r="C44" s="12" t="s">
        <v>45</v>
      </c>
      <c r="D44" s="13">
        <v>44958</v>
      </c>
      <c r="E44" s="13">
        <v>44962</v>
      </c>
      <c r="F44" s="13">
        <v>44986</v>
      </c>
      <c r="G44" s="12"/>
      <c r="H44" s="12"/>
      <c r="I44" s="14">
        <f t="shared" si="0"/>
        <v>1</v>
      </c>
      <c r="J44" s="29">
        <f>DATEDIF(Table8[[#This Row],[Discharge Date 1]],Table8[[#This Row],[Post-Discharge Visit Date]],"d")</f>
        <v>24</v>
      </c>
    </row>
    <row r="45" spans="1:10">
      <c r="A45" s="24">
        <v>245</v>
      </c>
      <c r="B45" s="15">
        <v>12231</v>
      </c>
      <c r="C45" s="16" t="s">
        <v>45</v>
      </c>
      <c r="D45" s="17">
        <v>44977</v>
      </c>
      <c r="E45" s="17">
        <v>44980</v>
      </c>
      <c r="F45" s="16"/>
      <c r="G45" s="16"/>
      <c r="H45" s="16"/>
      <c r="I45" s="18">
        <f t="shared" si="0"/>
        <v>0</v>
      </c>
      <c r="J45" s="1" t="s">
        <v>58</v>
      </c>
    </row>
    <row r="46" spans="1:10">
      <c r="A46" s="23">
        <v>254</v>
      </c>
      <c r="B46" s="11">
        <v>15539</v>
      </c>
      <c r="C46" s="12" t="s">
        <v>45</v>
      </c>
      <c r="D46" s="13">
        <v>44981</v>
      </c>
      <c r="E46" s="13">
        <v>44984</v>
      </c>
      <c r="F46" s="13">
        <v>45010</v>
      </c>
      <c r="G46" s="12"/>
      <c r="H46" s="12"/>
      <c r="I46" s="14">
        <f t="shared" si="0"/>
        <v>1</v>
      </c>
      <c r="J46" s="29">
        <f>DATEDIF(Table8[[#This Row],[Discharge Date 1]],Table8[[#This Row],[Post-Discharge Visit Date]],"d")</f>
        <v>26</v>
      </c>
    </row>
    <row r="47" spans="1:10">
      <c r="A47" s="24">
        <v>270</v>
      </c>
      <c r="B47" s="15">
        <v>22651</v>
      </c>
      <c r="C47" s="16" t="s">
        <v>45</v>
      </c>
      <c r="D47" s="17">
        <v>44978</v>
      </c>
      <c r="E47" s="17">
        <v>44978</v>
      </c>
      <c r="F47" s="17">
        <v>44985</v>
      </c>
      <c r="G47" s="17">
        <v>44988</v>
      </c>
      <c r="H47" s="17">
        <v>44994</v>
      </c>
      <c r="I47" s="18">
        <f t="shared" si="0"/>
        <v>1</v>
      </c>
      <c r="J47" s="34">
        <f>DATEDIF(Table8[[#This Row],[Discharge Date 1]],Table8[[#This Row],[Post-Discharge Visit Date]],"d")</f>
        <v>7</v>
      </c>
    </row>
    <row r="48" spans="1:10">
      <c r="A48" s="23">
        <v>275</v>
      </c>
      <c r="B48" s="11">
        <v>25413</v>
      </c>
      <c r="C48" s="12" t="s">
        <v>45</v>
      </c>
      <c r="D48" s="13">
        <v>45062</v>
      </c>
      <c r="E48" s="13">
        <v>45063</v>
      </c>
      <c r="F48" s="13">
        <v>45079</v>
      </c>
      <c r="G48" s="12"/>
      <c r="H48" s="12"/>
      <c r="I48" s="14">
        <f t="shared" si="0"/>
        <v>1</v>
      </c>
      <c r="J48" s="29">
        <f>DATEDIF(Table8[[#This Row],[Discharge Date 1]],Table8[[#This Row],[Post-Discharge Visit Date]],"d")</f>
        <v>16</v>
      </c>
    </row>
    <row r="49" spans="1:10">
      <c r="A49" s="24">
        <v>283</v>
      </c>
      <c r="B49" s="15">
        <v>29473</v>
      </c>
      <c r="C49" s="16" t="s">
        <v>45</v>
      </c>
      <c r="D49" s="17">
        <v>44927</v>
      </c>
      <c r="E49" s="17">
        <v>44929</v>
      </c>
      <c r="F49" s="17">
        <v>44949</v>
      </c>
      <c r="G49" s="16"/>
      <c r="H49" s="16"/>
      <c r="I49" s="18">
        <f t="shared" si="0"/>
        <v>1</v>
      </c>
      <c r="J49" s="1">
        <f>DATEDIF(Table8[[#This Row],[Discharge Date 1]],Table8[[#This Row],[Post-Discharge Visit Date]],"d")</f>
        <v>20</v>
      </c>
    </row>
    <row r="50" spans="1:10">
      <c r="A50" s="23">
        <v>284</v>
      </c>
      <c r="B50" s="11">
        <v>11247</v>
      </c>
      <c r="C50" s="12" t="s">
        <v>45</v>
      </c>
      <c r="D50" s="13">
        <v>45040</v>
      </c>
      <c r="E50" s="13">
        <v>45045</v>
      </c>
      <c r="F50" s="13">
        <v>45058</v>
      </c>
      <c r="G50" s="13">
        <v>45064</v>
      </c>
      <c r="H50" s="13">
        <v>45068</v>
      </c>
      <c r="I50" s="14">
        <f t="shared" si="0"/>
        <v>1</v>
      </c>
      <c r="J50" s="33">
        <f>DATEDIF(Table8[[#This Row],[Discharge Date 1]],Table8[[#This Row],[Post-Discharge Visit Date]],"d")</f>
        <v>13</v>
      </c>
    </row>
    <row r="51" spans="1:10">
      <c r="A51" s="24">
        <v>292</v>
      </c>
      <c r="B51" s="15">
        <v>23717</v>
      </c>
      <c r="C51" s="16" t="s">
        <v>45</v>
      </c>
      <c r="D51" s="17">
        <v>44943</v>
      </c>
      <c r="E51" s="17">
        <v>44948</v>
      </c>
      <c r="F51" s="17">
        <v>44973</v>
      </c>
      <c r="G51" s="16"/>
      <c r="H51" s="16"/>
      <c r="I51" s="18">
        <f t="shared" si="0"/>
        <v>1</v>
      </c>
      <c r="J51" s="1">
        <f>DATEDIF(Table8[[#This Row],[Discharge Date 1]],Table8[[#This Row],[Post-Discharge Visit Date]],"d")</f>
        <v>25</v>
      </c>
    </row>
    <row r="52" spans="1:10">
      <c r="A52" s="23">
        <v>293</v>
      </c>
      <c r="B52" s="11">
        <v>18804</v>
      </c>
      <c r="C52" s="12" t="s">
        <v>45</v>
      </c>
      <c r="D52" s="13">
        <v>45040</v>
      </c>
      <c r="E52" s="13">
        <v>45041</v>
      </c>
      <c r="F52" s="13">
        <v>45055</v>
      </c>
      <c r="G52" s="13">
        <v>45059</v>
      </c>
      <c r="H52" s="13">
        <v>45065</v>
      </c>
      <c r="I52" s="14">
        <f t="shared" si="0"/>
        <v>1</v>
      </c>
      <c r="J52" s="33">
        <f>DATEDIF(Table8[[#This Row],[Discharge Date 1]],Table8[[#This Row],[Post-Discharge Visit Date]],"d")</f>
        <v>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723E2-EFAB-964D-AD22-841055F2FC33}">
  <dimension ref="A1:C11"/>
  <sheetViews>
    <sheetView topLeftCell="A3" workbookViewId="0">
      <selection activeCell="D8" sqref="D8"/>
    </sheetView>
  </sheetViews>
  <sheetFormatPr baseColWidth="10" defaultRowHeight="13"/>
  <cols>
    <col min="1" max="1" width="32.6640625" bestFit="1" customWidth="1"/>
    <col min="2" max="2" width="15.83203125" bestFit="1" customWidth="1"/>
    <col min="3" max="3" width="10.6640625" bestFit="1" customWidth="1"/>
    <col min="4" max="4" width="3.1640625" bestFit="1" customWidth="1"/>
    <col min="5" max="5" width="3.5" bestFit="1" customWidth="1"/>
    <col min="6" max="6" width="3.33203125" bestFit="1" customWidth="1"/>
    <col min="7" max="7" width="10.6640625" bestFit="1" customWidth="1"/>
  </cols>
  <sheetData>
    <row r="1" spans="1:3">
      <c r="A1" s="66" t="s">
        <v>28</v>
      </c>
      <c r="B1" t="s">
        <v>110</v>
      </c>
    </row>
    <row r="3" spans="1:3">
      <c r="A3" s="66" t="s">
        <v>111</v>
      </c>
      <c r="B3" s="66" t="s">
        <v>108</v>
      </c>
    </row>
    <row r="4" spans="1:3">
      <c r="A4" s="66" t="s">
        <v>102</v>
      </c>
      <c r="B4" t="s">
        <v>49</v>
      </c>
      <c r="C4" t="s">
        <v>75</v>
      </c>
    </row>
    <row r="5" spans="1:3">
      <c r="A5" s="79" t="s">
        <v>103</v>
      </c>
      <c r="B5" s="84">
        <v>2</v>
      </c>
      <c r="C5" s="84">
        <v>2</v>
      </c>
    </row>
    <row r="6" spans="1:3">
      <c r="A6" s="79" t="s">
        <v>104</v>
      </c>
      <c r="B6" s="84">
        <v>1</v>
      </c>
      <c r="C6" s="84">
        <v>1</v>
      </c>
    </row>
    <row r="7" spans="1:3">
      <c r="A7" s="79" t="s">
        <v>105</v>
      </c>
      <c r="B7" s="84">
        <v>2</v>
      </c>
      <c r="C7" s="84">
        <v>2</v>
      </c>
    </row>
    <row r="8" spans="1:3">
      <c r="A8" s="79" t="s">
        <v>106</v>
      </c>
      <c r="B8" s="84">
        <v>3</v>
      </c>
      <c r="C8" s="84">
        <v>3</v>
      </c>
    </row>
    <row r="9" spans="1:3">
      <c r="A9" s="79" t="s">
        <v>107</v>
      </c>
      <c r="B9" s="84">
        <v>1</v>
      </c>
      <c r="C9" s="84">
        <v>1</v>
      </c>
    </row>
    <row r="10" spans="1:3">
      <c r="A10" s="79" t="s">
        <v>112</v>
      </c>
      <c r="B10" s="84">
        <v>1</v>
      </c>
      <c r="C10" s="84">
        <v>1</v>
      </c>
    </row>
    <row r="11" spans="1:3">
      <c r="A11" s="79" t="s">
        <v>75</v>
      </c>
      <c r="B11" s="84">
        <v>10</v>
      </c>
      <c r="C11" s="84">
        <v>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56D86-1A87-4EDD-9EFC-124A77E17178}">
  <dimension ref="A9:H131"/>
  <sheetViews>
    <sheetView topLeftCell="C17" workbookViewId="0">
      <selection activeCell="H31" sqref="H31"/>
    </sheetView>
  </sheetViews>
  <sheetFormatPr baseColWidth="10" defaultColWidth="8.83203125" defaultRowHeight="13"/>
  <cols>
    <col min="1" max="1" width="10.33203125" bestFit="1" customWidth="1"/>
    <col min="2" max="2" width="28.5" bestFit="1" customWidth="1"/>
    <col min="3" max="3" width="10.6640625" bestFit="1" customWidth="1"/>
    <col min="4" max="4" width="23.5" bestFit="1" customWidth="1"/>
    <col min="5" max="5" width="15.83203125" bestFit="1" customWidth="1"/>
    <col min="6" max="6" width="10.6640625" bestFit="1" customWidth="1"/>
    <col min="7" max="7" width="3.1640625" bestFit="1" customWidth="1"/>
    <col min="8" max="8" width="3.5" bestFit="1" customWidth="1"/>
    <col min="9" max="9" width="3.33203125" bestFit="1" customWidth="1"/>
    <col min="10" max="11" width="10.6640625" bestFit="1" customWidth="1"/>
  </cols>
  <sheetData>
    <row r="9" spans="1:6">
      <c r="E9" s="66" t="s">
        <v>34</v>
      </c>
      <c r="F9" t="s">
        <v>76</v>
      </c>
    </row>
    <row r="10" spans="1:6">
      <c r="E10" t="s">
        <v>32</v>
      </c>
      <c r="F10" s="36">
        <v>0.64</v>
      </c>
    </row>
    <row r="11" spans="1:6">
      <c r="E11" t="s">
        <v>44</v>
      </c>
      <c r="F11" s="36">
        <v>0.86</v>
      </c>
    </row>
    <row r="12" spans="1:6">
      <c r="E12" t="s">
        <v>46</v>
      </c>
      <c r="F12" s="36">
        <v>0.8</v>
      </c>
    </row>
    <row r="13" spans="1:6">
      <c r="E13" t="s">
        <v>47</v>
      </c>
      <c r="F13" s="36">
        <v>0.3</v>
      </c>
    </row>
    <row r="14" spans="1:6">
      <c r="E14" t="s">
        <v>48</v>
      </c>
      <c r="F14" s="36">
        <v>0.73</v>
      </c>
    </row>
    <row r="15" spans="1:6">
      <c r="E15" t="s">
        <v>77</v>
      </c>
      <c r="F15" s="36">
        <v>0.66599999999999993</v>
      </c>
    </row>
    <row r="16" spans="1:6">
      <c r="A16" s="66" t="s">
        <v>34</v>
      </c>
      <c r="B16" t="s">
        <v>78</v>
      </c>
    </row>
    <row r="17" spans="1:6">
      <c r="A17" t="s">
        <v>44</v>
      </c>
      <c r="B17">
        <v>14</v>
      </c>
      <c r="E17" s="66" t="s">
        <v>34</v>
      </c>
      <c r="F17" t="s">
        <v>79</v>
      </c>
    </row>
    <row r="18" spans="1:6">
      <c r="A18" t="s">
        <v>48</v>
      </c>
      <c r="B18">
        <v>8</v>
      </c>
      <c r="E18" t="s">
        <v>48</v>
      </c>
      <c r="F18">
        <v>14</v>
      </c>
    </row>
    <row r="19" spans="1:6">
      <c r="A19" t="s">
        <v>46</v>
      </c>
      <c r="B19">
        <v>8</v>
      </c>
      <c r="E19" t="s">
        <v>44</v>
      </c>
      <c r="F19">
        <v>13</v>
      </c>
    </row>
    <row r="20" spans="1:6">
      <c r="A20" t="s">
        <v>32</v>
      </c>
      <c r="B20">
        <v>7</v>
      </c>
      <c r="E20" t="s">
        <v>47</v>
      </c>
      <c r="F20">
        <v>12</v>
      </c>
    </row>
    <row r="21" spans="1:6">
      <c r="A21" t="s">
        <v>47</v>
      </c>
      <c r="B21">
        <v>3</v>
      </c>
      <c r="E21" t="s">
        <v>32</v>
      </c>
      <c r="F21">
        <v>11</v>
      </c>
    </row>
    <row r="22" spans="1:6">
      <c r="A22" t="s">
        <v>75</v>
      </c>
      <c r="B22">
        <v>40</v>
      </c>
      <c r="E22" t="s">
        <v>46</v>
      </c>
      <c r="F22">
        <v>10</v>
      </c>
    </row>
    <row r="23" spans="1:6">
      <c r="E23" t="s">
        <v>77</v>
      </c>
      <c r="F23">
        <v>12</v>
      </c>
    </row>
    <row r="28" spans="1:6" ht="28">
      <c r="A28" s="66" t="s">
        <v>34</v>
      </c>
      <c r="B28" s="20" t="s">
        <v>66</v>
      </c>
    </row>
    <row r="29" spans="1:6">
      <c r="A29" t="s">
        <v>47</v>
      </c>
      <c r="B29" s="36">
        <v>0.7</v>
      </c>
      <c r="E29" s="66" t="s">
        <v>34</v>
      </c>
      <c r="F29" t="s">
        <v>80</v>
      </c>
    </row>
    <row r="30" spans="1:6">
      <c r="A30" t="s">
        <v>32</v>
      </c>
      <c r="B30" s="36">
        <v>0.36</v>
      </c>
      <c r="E30" t="s">
        <v>44</v>
      </c>
      <c r="F30" s="36">
        <v>0.92310000000000003</v>
      </c>
    </row>
    <row r="31" spans="1:6">
      <c r="A31" t="s">
        <v>48</v>
      </c>
      <c r="B31" s="36">
        <v>0.27</v>
      </c>
      <c r="E31" t="s">
        <v>32</v>
      </c>
      <c r="F31" s="36">
        <v>0.89870000000000005</v>
      </c>
    </row>
    <row r="32" spans="1:6">
      <c r="A32" t="s">
        <v>46</v>
      </c>
      <c r="B32" s="36">
        <v>0.2</v>
      </c>
      <c r="E32" t="s">
        <v>46</v>
      </c>
      <c r="F32" s="36">
        <v>0.85940000000000005</v>
      </c>
    </row>
    <row r="33" spans="1:7">
      <c r="A33" t="s">
        <v>44</v>
      </c>
      <c r="B33" s="36">
        <v>0.14000000000000001</v>
      </c>
      <c r="E33" t="s">
        <v>48</v>
      </c>
      <c r="F33" s="36">
        <v>0.84309999999999996</v>
      </c>
    </row>
    <row r="34" spans="1:7">
      <c r="A34" t="s">
        <v>77</v>
      </c>
      <c r="B34" s="36">
        <v>0.33399999999999996</v>
      </c>
      <c r="E34" t="s">
        <v>47</v>
      </c>
      <c r="F34" s="36">
        <v>0.73170000000000002</v>
      </c>
    </row>
    <row r="35" spans="1:7">
      <c r="E35" t="s">
        <v>77</v>
      </c>
      <c r="F35" s="36">
        <v>0.85120000000000007</v>
      </c>
    </row>
    <row r="38" spans="1:7">
      <c r="C38" s="66" t="s">
        <v>34</v>
      </c>
      <c r="D38" t="s">
        <v>81</v>
      </c>
    </row>
    <row r="39" spans="1:7">
      <c r="C39" t="s">
        <v>44</v>
      </c>
      <c r="D39">
        <v>14</v>
      </c>
    </row>
    <row r="40" spans="1:7">
      <c r="C40" t="s">
        <v>48</v>
      </c>
      <c r="D40">
        <v>11</v>
      </c>
    </row>
    <row r="41" spans="1:7">
      <c r="C41" t="s">
        <v>32</v>
      </c>
      <c r="D41">
        <v>11</v>
      </c>
    </row>
    <row r="42" spans="1:7">
      <c r="C42" t="s">
        <v>47</v>
      </c>
      <c r="D42">
        <v>10</v>
      </c>
    </row>
    <row r="43" spans="1:7">
      <c r="C43" t="s">
        <v>46</v>
      </c>
      <c r="D43">
        <v>10</v>
      </c>
    </row>
    <row r="44" spans="1:7">
      <c r="C44" t="s">
        <v>75</v>
      </c>
      <c r="D44">
        <v>56</v>
      </c>
      <c r="F44" s="66" t="s">
        <v>34</v>
      </c>
      <c r="G44" t="s">
        <v>82</v>
      </c>
    </row>
    <row r="45" spans="1:7">
      <c r="F45" t="s">
        <v>47</v>
      </c>
      <c r="G45" s="36">
        <v>0.24</v>
      </c>
    </row>
    <row r="46" spans="1:7">
      <c r="F46" t="s">
        <v>48</v>
      </c>
      <c r="G46" s="36">
        <v>0.22</v>
      </c>
    </row>
    <row r="47" spans="1:7">
      <c r="F47" t="s">
        <v>44</v>
      </c>
      <c r="G47" s="36">
        <v>0.22</v>
      </c>
    </row>
    <row r="48" spans="1:7">
      <c r="F48" t="s">
        <v>46</v>
      </c>
      <c r="G48" s="36">
        <v>0.16</v>
      </c>
    </row>
    <row r="49" spans="6:7">
      <c r="F49" t="s">
        <v>32</v>
      </c>
      <c r="G49" s="36">
        <v>0.14000000000000001</v>
      </c>
    </row>
    <row r="50" spans="6:7">
      <c r="F50" t="s">
        <v>75</v>
      </c>
      <c r="G50" s="36">
        <v>0.19600000000000001</v>
      </c>
    </row>
    <row r="62" spans="6:7">
      <c r="F62" t="s">
        <v>83</v>
      </c>
      <c r="G62" t="s">
        <v>84</v>
      </c>
    </row>
    <row r="63" spans="6:7">
      <c r="F63" t="s">
        <v>46</v>
      </c>
      <c r="G63">
        <v>10</v>
      </c>
    </row>
    <row r="64" spans="6:7">
      <c r="F64" t="s">
        <v>32</v>
      </c>
      <c r="G64">
        <v>11</v>
      </c>
    </row>
    <row r="65" spans="6:7">
      <c r="F65" t="s">
        <v>47</v>
      </c>
      <c r="G65">
        <v>12</v>
      </c>
    </row>
    <row r="66" spans="6:7">
      <c r="F66" t="s">
        <v>44</v>
      </c>
      <c r="G66">
        <v>13</v>
      </c>
    </row>
    <row r="67" spans="6:7">
      <c r="F67" t="s">
        <v>48</v>
      </c>
      <c r="G67">
        <v>14</v>
      </c>
    </row>
    <row r="68" spans="6:7">
      <c r="F68" t="s">
        <v>75</v>
      </c>
      <c r="G68">
        <f>AVERAGE(G63:G67)</f>
        <v>12</v>
      </c>
    </row>
    <row r="83" spans="2:8" ht="210">
      <c r="E83" s="72" t="s">
        <v>85</v>
      </c>
      <c r="F83" s="72" t="s">
        <v>86</v>
      </c>
      <c r="G83" s="72" t="s">
        <v>87</v>
      </c>
    </row>
    <row r="84" spans="2:8" ht="14">
      <c r="E84" s="72" t="s">
        <v>31</v>
      </c>
      <c r="F84" s="73">
        <v>0.3</v>
      </c>
      <c r="G84" s="73">
        <v>0.7</v>
      </c>
    </row>
    <row r="85" spans="2:8" ht="14">
      <c r="E85" s="72" t="s">
        <v>32</v>
      </c>
      <c r="F85" s="73">
        <v>0.65</v>
      </c>
      <c r="G85" s="73">
        <v>0.35</v>
      </c>
    </row>
    <row r="86" spans="2:8" ht="14">
      <c r="E86" s="72" t="s">
        <v>45</v>
      </c>
      <c r="F86" s="73">
        <v>0.7</v>
      </c>
      <c r="G86" s="73">
        <v>0.25</v>
      </c>
    </row>
    <row r="87" spans="2:8" ht="14">
      <c r="E87" s="72" t="s">
        <v>49</v>
      </c>
      <c r="F87" s="73">
        <v>0.8</v>
      </c>
      <c r="G87" s="73">
        <v>0.2</v>
      </c>
    </row>
    <row r="88" spans="2:8" ht="14">
      <c r="E88" s="72" t="s">
        <v>33</v>
      </c>
      <c r="F88" s="73">
        <v>0.75</v>
      </c>
      <c r="G88" s="73">
        <v>0.15</v>
      </c>
    </row>
    <row r="94" spans="2:8">
      <c r="B94" t="s">
        <v>88</v>
      </c>
      <c r="C94" t="s">
        <v>89</v>
      </c>
      <c r="D94" t="s">
        <v>90</v>
      </c>
      <c r="E94" t="s">
        <v>91</v>
      </c>
      <c r="F94" t="s">
        <v>92</v>
      </c>
      <c r="G94" t="s">
        <v>87</v>
      </c>
      <c r="H94" t="s">
        <v>93</v>
      </c>
    </row>
    <row r="95" spans="2:8">
      <c r="B95" t="s">
        <v>33</v>
      </c>
      <c r="C95">
        <v>65</v>
      </c>
      <c r="D95" s="36">
        <v>0.86</v>
      </c>
      <c r="E95">
        <v>13</v>
      </c>
      <c r="F95" s="36">
        <v>0.22</v>
      </c>
      <c r="G95" s="36">
        <v>0.15</v>
      </c>
      <c r="H95" s="36">
        <v>0.75</v>
      </c>
    </row>
    <row r="96" spans="2:8">
      <c r="B96" t="s">
        <v>46</v>
      </c>
      <c r="C96">
        <v>64</v>
      </c>
      <c r="D96" s="36">
        <v>0.8</v>
      </c>
      <c r="E96">
        <v>10</v>
      </c>
      <c r="F96" s="36">
        <v>0.18</v>
      </c>
      <c r="G96" s="36">
        <v>0.2</v>
      </c>
      <c r="H96" s="36">
        <v>0.8</v>
      </c>
    </row>
    <row r="97" spans="2:8">
      <c r="B97" t="s">
        <v>48</v>
      </c>
      <c r="C97">
        <v>51</v>
      </c>
      <c r="D97" s="36">
        <v>0.73</v>
      </c>
      <c r="E97">
        <v>14</v>
      </c>
      <c r="F97" s="36">
        <v>0.22</v>
      </c>
      <c r="G97" s="36">
        <v>0.25</v>
      </c>
      <c r="H97" s="36">
        <v>0.7</v>
      </c>
    </row>
    <row r="98" spans="2:8">
      <c r="B98" t="s">
        <v>94</v>
      </c>
      <c r="C98">
        <v>79</v>
      </c>
      <c r="D98" s="36">
        <v>0.64</v>
      </c>
      <c r="E98">
        <v>11</v>
      </c>
      <c r="F98" s="36">
        <v>0.14000000000000001</v>
      </c>
      <c r="G98" s="36">
        <v>0.35</v>
      </c>
      <c r="H98" s="36">
        <v>0.65</v>
      </c>
    </row>
    <row r="99" spans="2:8">
      <c r="B99" t="s">
        <v>47</v>
      </c>
      <c r="C99">
        <v>41</v>
      </c>
      <c r="D99" s="36">
        <v>0.3</v>
      </c>
      <c r="E99">
        <v>12</v>
      </c>
      <c r="F99" s="36">
        <v>0.24</v>
      </c>
      <c r="G99" s="36">
        <v>0.7</v>
      </c>
      <c r="H99" s="36">
        <v>0.3</v>
      </c>
    </row>
    <row r="121" spans="4:6">
      <c r="D121" s="66" t="s">
        <v>28</v>
      </c>
      <c r="E121" t="s">
        <v>110</v>
      </c>
    </row>
    <row r="123" spans="4:6">
      <c r="D123" s="66" t="s">
        <v>109</v>
      </c>
      <c r="E123" s="66" t="s">
        <v>108</v>
      </c>
    </row>
    <row r="124" spans="4:6">
      <c r="D124" s="66" t="s">
        <v>102</v>
      </c>
      <c r="E124" t="s">
        <v>49</v>
      </c>
      <c r="F124" t="s">
        <v>75</v>
      </c>
    </row>
    <row r="125" spans="4:6">
      <c r="D125" s="79" t="s">
        <v>103</v>
      </c>
      <c r="E125" s="84">
        <v>2</v>
      </c>
      <c r="F125" s="84">
        <v>2</v>
      </c>
    </row>
    <row r="126" spans="4:6">
      <c r="D126" s="79" t="s">
        <v>104</v>
      </c>
      <c r="E126" s="84">
        <v>1</v>
      </c>
      <c r="F126" s="84">
        <v>1</v>
      </c>
    </row>
    <row r="127" spans="4:6">
      <c r="D127" s="79" t="s">
        <v>105</v>
      </c>
      <c r="E127" s="84">
        <v>2</v>
      </c>
      <c r="F127" s="84">
        <v>2</v>
      </c>
    </row>
    <row r="128" spans="4:6">
      <c r="D128" s="79" t="s">
        <v>106</v>
      </c>
      <c r="E128" s="84">
        <v>3</v>
      </c>
      <c r="F128" s="84">
        <v>3</v>
      </c>
    </row>
    <row r="129" spans="4:6">
      <c r="D129" s="79" t="s">
        <v>107</v>
      </c>
      <c r="E129" s="84">
        <v>1</v>
      </c>
      <c r="F129" s="84">
        <v>1</v>
      </c>
    </row>
    <row r="130" spans="4:6">
      <c r="D130" s="79" t="s">
        <v>112</v>
      </c>
      <c r="E130" s="84">
        <v>1</v>
      </c>
      <c r="F130" s="84">
        <v>1</v>
      </c>
    </row>
    <row r="131" spans="4:6">
      <c r="D131" s="79" t="s">
        <v>75</v>
      </c>
      <c r="E131" s="84">
        <v>10</v>
      </c>
      <c r="F131" s="84">
        <v>10</v>
      </c>
    </row>
  </sheetData>
  <sortState xmlns:xlrd2="http://schemas.microsoft.com/office/spreadsheetml/2017/richdata2" ref="E84:G88">
    <sortCondition descending="1" ref="G84:G88"/>
  </sortState>
  <pageMargins left="0.7" right="0.7" top="0.75" bottom="0.75" header="0.3" footer="0.3"/>
  <drawing r:id="rId9"/>
  <tableParts count="2">
    <tablePart r:id="rId10"/>
    <tablePart r:id="rId11"/>
  </tableParts>
  <extLst>
    <ext xmlns:x14="http://schemas.microsoft.com/office/spreadsheetml/2009/9/main" uri="{A8765BA9-456A-4dab-B4F3-ACF838C121DE}">
      <x14:slicerList>
        <x14:slicer r:id="rId1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1F575-BE37-4605-A4E4-2E7427FFDDAB}">
  <dimension ref="C5:K24"/>
  <sheetViews>
    <sheetView showGridLines="0" topLeftCell="D1" workbookViewId="0">
      <selection activeCell="E19" sqref="E19:G24"/>
    </sheetView>
  </sheetViews>
  <sheetFormatPr baseColWidth="10" defaultColWidth="8.83203125" defaultRowHeight="13"/>
  <cols>
    <col min="3" max="3" width="11.33203125" bestFit="1" customWidth="1"/>
    <col min="4" max="4" width="19.5" bestFit="1" customWidth="1"/>
    <col min="5" max="5" width="24.33203125" bestFit="1" customWidth="1"/>
    <col min="6" max="6" width="34.33203125" customWidth="1"/>
    <col min="7" max="7" width="30" customWidth="1"/>
    <col min="8" max="8" width="34.83203125" customWidth="1"/>
    <col min="9" max="9" width="35.5" bestFit="1" customWidth="1"/>
    <col min="10" max="10" width="25.1640625" customWidth="1"/>
    <col min="11" max="11" width="26.5" customWidth="1"/>
  </cols>
  <sheetData>
    <row r="5" spans="3:9">
      <c r="C5" s="66" t="s">
        <v>88</v>
      </c>
      <c r="D5" t="s">
        <v>51</v>
      </c>
      <c r="E5" t="s">
        <v>95</v>
      </c>
      <c r="F5" t="s">
        <v>96</v>
      </c>
      <c r="G5" t="s">
        <v>97</v>
      </c>
      <c r="H5" t="s">
        <v>98</v>
      </c>
      <c r="I5" t="s">
        <v>99</v>
      </c>
    </row>
    <row r="6" spans="3:9">
      <c r="C6" t="s">
        <v>94</v>
      </c>
      <c r="D6">
        <v>79</v>
      </c>
      <c r="E6" s="36">
        <v>0.64</v>
      </c>
      <c r="F6">
        <v>11</v>
      </c>
      <c r="G6" s="36">
        <v>0.14000000000000001</v>
      </c>
      <c r="H6" s="36">
        <v>0.65</v>
      </c>
      <c r="I6" s="36">
        <v>0.35</v>
      </c>
    </row>
    <row r="7" spans="3:9">
      <c r="C7" t="s">
        <v>33</v>
      </c>
      <c r="D7">
        <v>65</v>
      </c>
      <c r="E7" s="36">
        <v>0.86</v>
      </c>
      <c r="F7">
        <v>13</v>
      </c>
      <c r="G7" s="36">
        <v>0.22</v>
      </c>
      <c r="H7" s="36">
        <v>0.75</v>
      </c>
      <c r="I7" s="36">
        <v>0.15</v>
      </c>
    </row>
    <row r="8" spans="3:9">
      <c r="C8" t="s">
        <v>46</v>
      </c>
      <c r="D8">
        <v>64</v>
      </c>
      <c r="E8" s="36">
        <v>0.8</v>
      </c>
      <c r="F8">
        <v>10</v>
      </c>
      <c r="G8" s="36">
        <v>0.18</v>
      </c>
      <c r="H8" s="36">
        <v>0.8</v>
      </c>
      <c r="I8" s="36">
        <v>0.2</v>
      </c>
    </row>
    <row r="9" spans="3:9">
      <c r="C9" t="s">
        <v>47</v>
      </c>
      <c r="D9">
        <v>41</v>
      </c>
      <c r="E9" s="36">
        <v>0.3</v>
      </c>
      <c r="F9">
        <v>12</v>
      </c>
      <c r="G9" s="36">
        <v>0.24</v>
      </c>
      <c r="H9" s="36">
        <v>0.3</v>
      </c>
      <c r="I9" s="36">
        <v>0.7</v>
      </c>
    </row>
    <row r="10" spans="3:9">
      <c r="C10" t="s">
        <v>48</v>
      </c>
      <c r="D10">
        <v>51</v>
      </c>
      <c r="E10" s="36">
        <v>0.73</v>
      </c>
      <c r="F10">
        <v>14</v>
      </c>
      <c r="G10" s="36">
        <v>0.22</v>
      </c>
      <c r="H10" s="36">
        <v>0.7</v>
      </c>
      <c r="I10" s="36">
        <v>0.25</v>
      </c>
    </row>
    <row r="11" spans="3:9">
      <c r="C11" t="s">
        <v>75</v>
      </c>
      <c r="D11">
        <v>300</v>
      </c>
      <c r="E11" s="36">
        <v>0.66599999999999993</v>
      </c>
      <c r="F11">
        <v>60</v>
      </c>
      <c r="G11" s="36">
        <v>0.2</v>
      </c>
      <c r="H11" s="36">
        <v>0.64</v>
      </c>
      <c r="I11" s="36">
        <v>0.32999999999999996</v>
      </c>
    </row>
    <row r="15" spans="3:9">
      <c r="E15" t="s">
        <v>100</v>
      </c>
    </row>
    <row r="18" spans="5:11" ht="14" thickBot="1"/>
    <row r="19" spans="5:11" ht="14" thickBot="1">
      <c r="E19" s="78" t="s">
        <v>85</v>
      </c>
      <c r="F19" s="77" t="s">
        <v>101</v>
      </c>
      <c r="G19" s="76" t="str">
        <f t="shared" ref="G19:G24" si="0">G5</f>
        <v xml:space="preserve"> Readmission Rate </v>
      </c>
      <c r="J19" s="76" t="str">
        <f t="shared" ref="J19:K24" si="1">H5</f>
        <v xml:space="preserve"> Readmission Rate PDV </v>
      </c>
      <c r="K19" s="76" t="str">
        <f t="shared" si="1"/>
        <v xml:space="preserve"> Readmission Rate (No PDV)</v>
      </c>
    </row>
    <row r="20" spans="5:11" ht="14" thickBot="1">
      <c r="E20" s="74" t="str">
        <f t="shared" ref="E20:E24" si="2">C6</f>
        <v xml:space="preserve">IL </v>
      </c>
      <c r="F20" s="75">
        <f>E6</f>
        <v>0.64</v>
      </c>
      <c r="G20" s="75">
        <f t="shared" si="0"/>
        <v>0.14000000000000001</v>
      </c>
      <c r="J20" s="75">
        <f t="shared" si="1"/>
        <v>0.65</v>
      </c>
      <c r="K20" s="75">
        <f t="shared" si="1"/>
        <v>0.35</v>
      </c>
    </row>
    <row r="21" spans="5:11" ht="14" thickBot="1">
      <c r="E21" s="74" t="str">
        <f t="shared" si="2"/>
        <v>IN</v>
      </c>
      <c r="F21" s="75">
        <f>E7</f>
        <v>0.86</v>
      </c>
      <c r="G21" s="75">
        <f t="shared" si="0"/>
        <v>0.22</v>
      </c>
      <c r="J21" s="75">
        <f t="shared" si="1"/>
        <v>0.75</v>
      </c>
      <c r="K21" s="75">
        <f t="shared" si="1"/>
        <v>0.15</v>
      </c>
    </row>
    <row r="22" spans="5:11" ht="14" thickBot="1">
      <c r="E22" s="74" t="str">
        <f t="shared" si="2"/>
        <v xml:space="preserve">MI </v>
      </c>
      <c r="F22" s="75">
        <f>E8</f>
        <v>0.8</v>
      </c>
      <c r="G22" s="75">
        <f t="shared" si="0"/>
        <v>0.18</v>
      </c>
      <c r="J22" s="75">
        <f t="shared" si="1"/>
        <v>0.8</v>
      </c>
      <c r="K22" s="75">
        <f t="shared" si="1"/>
        <v>0.2</v>
      </c>
    </row>
    <row r="23" spans="5:11" ht="14" thickBot="1">
      <c r="E23" s="74" t="str">
        <f t="shared" si="2"/>
        <v xml:space="preserve">PA </v>
      </c>
      <c r="F23" s="75">
        <f>E9</f>
        <v>0.3</v>
      </c>
      <c r="G23" s="75">
        <f t="shared" si="0"/>
        <v>0.24</v>
      </c>
      <c r="J23" s="75">
        <f t="shared" si="1"/>
        <v>0.3</v>
      </c>
      <c r="K23" s="75">
        <f t="shared" si="1"/>
        <v>0.7</v>
      </c>
    </row>
    <row r="24" spans="5:11" ht="14" thickBot="1">
      <c r="E24" s="74" t="str">
        <f t="shared" si="2"/>
        <v xml:space="preserve">TX </v>
      </c>
      <c r="F24" s="75">
        <f>E10</f>
        <v>0.73</v>
      </c>
      <c r="G24" s="75">
        <f t="shared" si="0"/>
        <v>0.22</v>
      </c>
      <c r="J24" s="75">
        <f t="shared" si="1"/>
        <v>0.7</v>
      </c>
      <c r="K24" s="75">
        <f t="shared" si="1"/>
        <v>0.25</v>
      </c>
    </row>
  </sheetData>
  <conditionalFormatting sqref="J19:K24 E19:G24">
    <cfRule type="colorScale" priority="2">
      <colorScale>
        <cfvo type="min"/>
        <cfvo type="percentile" val="50"/>
        <cfvo type="max"/>
        <color rgb="FFF8696B"/>
        <color rgb="FFFCFCFF"/>
        <color rgb="FF5A8AC6"/>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BCABB-CBC0-40B2-9409-E11308B27A93}">
  <dimension ref="E23:K28"/>
  <sheetViews>
    <sheetView showGridLines="0" topLeftCell="B1" workbookViewId="0">
      <selection activeCell="G13" sqref="G13"/>
    </sheetView>
  </sheetViews>
  <sheetFormatPr baseColWidth="10" defaultColWidth="8.83203125" defaultRowHeight="13"/>
  <cols>
    <col min="4" max="4" width="18" bestFit="1" customWidth="1"/>
    <col min="5" max="5" width="14" customWidth="1"/>
    <col min="6" max="6" width="24.5" bestFit="1" customWidth="1"/>
    <col min="7" max="7" width="25.6640625" bestFit="1" customWidth="1"/>
    <col min="8" max="8" width="24.5" bestFit="1" customWidth="1"/>
    <col min="9" max="9" width="25.6640625" bestFit="1" customWidth="1"/>
    <col min="10" max="10" width="24.83203125" bestFit="1" customWidth="1"/>
    <col min="11" max="11" width="27.6640625" customWidth="1"/>
    <col min="12" max="12" width="24.83203125" bestFit="1" customWidth="1"/>
    <col min="13" max="13" width="27.6640625" bestFit="1" customWidth="1"/>
  </cols>
  <sheetData>
    <row r="23" spans="5:11">
      <c r="E23" s="69"/>
      <c r="F23" s="69"/>
      <c r="G23" s="69"/>
      <c r="H23" s="69"/>
      <c r="I23" s="69"/>
      <c r="J23" s="69"/>
      <c r="K23" s="69"/>
    </row>
    <row r="24" spans="5:11">
      <c r="E24" s="67"/>
      <c r="F24" s="67"/>
      <c r="G24" s="67"/>
      <c r="H24" s="68"/>
      <c r="I24" s="67"/>
      <c r="J24" s="68"/>
      <c r="K24" s="68"/>
    </row>
    <row r="25" spans="5:11">
      <c r="E25" s="67"/>
      <c r="F25" s="67"/>
      <c r="G25" s="67"/>
      <c r="H25" s="68"/>
      <c r="I25" s="67"/>
      <c r="J25" s="68"/>
      <c r="K25" s="68"/>
    </row>
    <row r="26" spans="5:11">
      <c r="E26" s="67"/>
      <c r="F26" s="67"/>
      <c r="G26" s="67"/>
      <c r="H26" s="68"/>
      <c r="I26" s="67"/>
      <c r="J26" s="68"/>
      <c r="K26" s="68"/>
    </row>
    <row r="27" spans="5:11">
      <c r="E27" s="67"/>
      <c r="F27" s="67"/>
      <c r="G27" s="67"/>
      <c r="H27" s="68"/>
      <c r="I27" s="67"/>
      <c r="J27" s="68"/>
      <c r="K27" s="68"/>
    </row>
    <row r="28" spans="5:11">
      <c r="E28" s="67"/>
      <c r="F28" s="67"/>
      <c r="G28" s="67"/>
      <c r="H28" s="68"/>
      <c r="I28" s="67"/>
      <c r="J28" s="68"/>
      <c r="K28" s="68"/>
    </row>
  </sheetData>
  <conditionalFormatting sqref="E24:E28">
    <cfRule type="colorScale" priority="1">
      <colorScale>
        <cfvo type="min"/>
        <cfvo type="max"/>
        <color rgb="FFFCFCFF"/>
        <color rgb="FF63BE7B"/>
      </colorScale>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7B1E3-1A49-4F57-BB51-CA53398C024F}">
  <dimension ref="V37:AB42"/>
  <sheetViews>
    <sheetView tabSelected="1" workbookViewId="0">
      <selection activeCell="V48" sqref="V48"/>
    </sheetView>
  </sheetViews>
  <sheetFormatPr baseColWidth="10" defaultColWidth="8.83203125" defaultRowHeight="13"/>
  <cols>
    <col min="1" max="1" width="6.5" customWidth="1"/>
    <col min="2" max="2" width="9.5" customWidth="1"/>
    <col min="3" max="3" width="6" customWidth="1"/>
    <col min="4" max="4" width="6.33203125" customWidth="1"/>
    <col min="5" max="5" width="6.1640625" customWidth="1"/>
    <col min="6" max="6" width="6.33203125" customWidth="1"/>
    <col min="7" max="7" width="5" customWidth="1"/>
    <col min="8" max="8" width="6" customWidth="1"/>
    <col min="9" max="9" width="6.33203125" customWidth="1"/>
    <col min="10" max="10" width="5.83203125" customWidth="1"/>
    <col min="11" max="11" width="6" customWidth="1"/>
    <col min="12" max="12" width="7.5" customWidth="1"/>
    <col min="13" max="13" width="6.83203125" customWidth="1"/>
    <col min="14" max="14" width="6.1640625" customWidth="1"/>
    <col min="15" max="15" width="7.1640625" customWidth="1"/>
    <col min="16" max="16" width="7.5" customWidth="1"/>
  </cols>
  <sheetData>
    <row r="37" spans="22:28">
      <c r="V37" s="76"/>
      <c r="W37" s="76"/>
      <c r="X37" s="77"/>
      <c r="Y37" s="76"/>
      <c r="Z37" s="76"/>
      <c r="AA37" s="76"/>
      <c r="AB37" s="76"/>
    </row>
    <row r="38" spans="22:28">
      <c r="V38" s="74"/>
      <c r="W38" s="74"/>
      <c r="X38" s="75"/>
      <c r="Y38" s="74"/>
      <c r="Z38" s="75"/>
      <c r="AA38" s="75"/>
      <c r="AB38" s="75"/>
    </row>
    <row r="39" spans="22:28">
      <c r="V39" s="74"/>
      <c r="W39" s="74"/>
      <c r="X39" s="75"/>
      <c r="Y39" s="74"/>
      <c r="Z39" s="75"/>
      <c r="AA39" s="75"/>
      <c r="AB39" s="75"/>
    </row>
    <row r="40" spans="22:28">
      <c r="V40" s="74"/>
      <c r="W40" s="74"/>
      <c r="X40" s="75"/>
      <c r="Y40" s="74"/>
      <c r="Z40" s="75"/>
      <c r="AA40" s="75"/>
      <c r="AB40" s="75"/>
    </row>
    <row r="41" spans="22:28">
      <c r="V41" s="74"/>
      <c r="W41" s="74"/>
      <c r="X41" s="75"/>
      <c r="Y41" s="74"/>
      <c r="Z41" s="75"/>
      <c r="AA41" s="75"/>
      <c r="AB41" s="75"/>
    </row>
    <row r="42" spans="22:28">
      <c r="V42" s="74"/>
      <c r="W42" s="74"/>
      <c r="X42" s="75"/>
      <c r="Y42" s="74"/>
      <c r="Z42" s="75"/>
      <c r="AA42" s="75"/>
      <c r="AB42" s="75"/>
    </row>
  </sheetData>
  <conditionalFormatting sqref="V37:AB42">
    <cfRule type="colorScale" priority="1">
      <colorScale>
        <cfvo type="min"/>
        <cfvo type="percentile" val="50"/>
        <cfvo type="max"/>
        <color rgb="FFF8696B"/>
        <color rgb="FFFCFCFF"/>
        <color rgb="FF5A8AC6"/>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Data Analysis Questions</vt:lpstr>
      <vt:lpstr>Raw Data</vt:lpstr>
      <vt:lpstr>IL-1A</vt:lpstr>
      <vt:lpstr>IN-1A</vt:lpstr>
      <vt:lpstr>MI-1A</vt:lpstr>
      <vt:lpstr>PA-1A</vt:lpstr>
      <vt:lpstr>TX-1A</vt:lpstr>
      <vt:lpstr>Sheet2</vt:lpstr>
      <vt:lpstr>Pivot-Table</vt:lpstr>
      <vt:lpstr>Matrix-Pivot Table</vt:lpstr>
      <vt:lpstr>Dashboard Layout</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Thompson, Deanelle</cp:lastModifiedBy>
  <cp:revision/>
  <dcterms:created xsi:type="dcterms:W3CDTF">2025-11-13T21:22:25Z</dcterms:created>
  <dcterms:modified xsi:type="dcterms:W3CDTF">2026-02-15T14:37:13Z</dcterms:modified>
  <cp:category/>
  <cp:contentStatus/>
</cp:coreProperties>
</file>